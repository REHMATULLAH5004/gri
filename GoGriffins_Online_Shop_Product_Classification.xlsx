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ducts" sheetId="2" state="visible" r:id="rId4"/>
    <sheet name="Lists" sheetId="3" state="visible" r:id="rId5"/>
    <sheet name="Shop Menu" sheetId="4" state="visible" r:id="rId6"/>
  </sheets>
  <definedNames>
    <definedName function="false" hidden="true" localSheetId="1" name="_xlnm._FilterDatabase" vbProcedure="false">Products!$A$1:$Q$632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<sst xmlns="http://schemas.openxmlformats.org/spreadsheetml/2006/main" count="7870" uniqueCount="2787">
  <si>
    <t xml:space="preserve">Griffins Medicals - product classification for the online shop</t>
  </si>
  <si>
    <t xml:space="preserve">What this is: all 631 ERP products arranged into Parent Type &gt; Shop Category &gt; Shop Sub Category, ready to load into the online shop.</t>
  </si>
  <si>
    <t xml:space="preserve">How to use it:</t>
  </si>
  <si>
    <t xml:space="preserve">1.  Open the Products sheet. The yellow columns (Parent Type, Shop Category, Shop Sub Category) are my proposal - change any cell using the dropdown.</t>
  </si>
  <si>
    <t xml:space="preserve">2.  "Needs Prescription?" is automatic: it says Yes whenever Shop Category = prescription (no tick box needed).</t>
  </si>
  <si>
    <t xml:space="preserve">3.  The Notes column shows where I was unsure, or the product has no price, no stock, or is a bundle.</t>
  </si>
  <si>
    <t xml:space="preserve">4.  The Shop Menu sheet shows how the shop menu will look, with live counts.</t>
  </si>
  <si>
    <t xml:space="preserve">5.  When you are happy, send the file back and I will load it into the ERP database.</t>
  </si>
  <si>
    <t xml:space="preserve">How I decided Prescription vs OTC: anything antibiotic, injectable, cardiac, diabetic, cancer, steroid, etc. is Prescription. Only clearly over-the-counter items</t>
  </si>
  <si>
    <t xml:space="preserve">(oral paracetamol, cough/cold/allergy, antacids, laxatives, ORS, herbal/homeopathic, mouthwash, saline/decongestant nasal drops, lubricant eye drops, topical pain gels) are OTC.</t>
  </si>
  <si>
    <t xml:space="preserve">When unsure I chose Prescription - that is the safer default for a pharmacy. Please review the OTC list (40 products).</t>
  </si>
  <si>
    <t xml:space="preserve">Values are lowercase with underscores on purpose - the shop turns them into Title Case in the menu (e.g. pain_and_fever_relief shows as "Pain And Fever Relief").</t>
  </si>
  <si>
    <t xml:space="preserve">SKU</t>
  </si>
  <si>
    <t xml:space="preserve">Product Name</t>
  </si>
  <si>
    <t xml:space="preserve">Brand</t>
  </si>
  <si>
    <t xml:space="preserve">Generic Name</t>
  </si>
  <si>
    <t xml:space="preserve">Form</t>
  </si>
  <si>
    <t xml:space="preserve">ERP Category</t>
  </si>
  <si>
    <t xml:space="preserve">ERP Sub Category</t>
  </si>
  <si>
    <t xml:space="preserve">ERP Stock (units)</t>
  </si>
  <si>
    <t xml:space="preserve">Pack Size</t>
  </si>
  <si>
    <t xml:space="preserve">Online Price (ZMW)</t>
  </si>
  <si>
    <t xml:space="preserve">In Stock Online?</t>
  </si>
  <si>
    <t xml:space="preserve">Parent Type</t>
  </si>
  <si>
    <t xml:space="preserve">Shop Category</t>
  </si>
  <si>
    <t xml:space="preserve">Shop Sub Category</t>
  </si>
  <si>
    <t xml:space="preserve">Needs Prescription?</t>
  </si>
  <si>
    <t xml:space="preserve">Notes / Please Check</t>
  </si>
  <si>
    <t xml:space="preserve">Product ID</t>
  </si>
  <si>
    <t xml:space="preserve">PRD-MUXW22EK</t>
  </si>
  <si>
    <t xml:space="preserve">Accu-check Glucostick</t>
  </si>
  <si>
    <t xml:space="preserve">Roche Diabates Care</t>
  </si>
  <si>
    <t xml:space="preserve">Glucostick</t>
  </si>
  <si>
    <t xml:space="preserve">Diagnostics &amp; Monitoring(Devices &amp; Supplies)</t>
  </si>
  <si>
    <t xml:space="preserve">Blood Glucose Test Strips</t>
  </si>
  <si>
    <t xml:space="preserve">Yes</t>
  </si>
  <si>
    <t xml:space="preserve">diagnostics</t>
  </si>
  <si>
    <t xml:space="preserve">diagnostic_devices</t>
  </si>
  <si>
    <t xml:space="preserve">blood_glucose_monitoring</t>
  </si>
  <si>
    <t xml:space="preserve">75d57c25-89af-4b25-a803-219f4e9e1d20</t>
  </si>
  <si>
    <t xml:space="preserve">PRD-MTHV9KLM149</t>
  </si>
  <si>
    <t xml:space="preserve">Codefree Blood Sugar Monitoring Strips</t>
  </si>
  <si>
    <t xml:space="preserve">Sd Biosensor, Inc.(Korea)</t>
  </si>
  <si>
    <t xml:space="preserve">Medical Device</t>
  </si>
  <si>
    <t xml:space="preserve">6973fa0b-d722-4d52-9c29-3bf8726d8751</t>
  </si>
  <si>
    <t xml:space="preserve">PRD-1510</t>
  </si>
  <si>
    <t xml:space="preserve">Sinocare Blood Glucose Test Strips</t>
  </si>
  <si>
    <t xml:space="preserve">Changsha Sinocare Inc.</t>
  </si>
  <si>
    <t xml:space="preserve">Consumable</t>
  </si>
  <si>
    <t xml:space="preserve">a18968a4-17a0-472e-9805-ef1219c9dbb0</t>
  </si>
  <si>
    <t xml:space="preserve">PRD-3326</t>
  </si>
  <si>
    <t xml:space="preserve">Health Nest Blood Pressure Monitor Lt-p30 Arm Type</t>
  </si>
  <si>
    <t xml:space="preserve">Health Nest Africa Limited(china/africa)</t>
  </si>
  <si>
    <t xml:space="preserve">Bp Machine</t>
  </si>
  <si>
    <t xml:space="preserve">Blood pressure monitor</t>
  </si>
  <si>
    <t xml:space="preserve">blood_pressure_monitors</t>
  </si>
  <si>
    <t xml:space="preserve">8279ae71-b694-4805-a580-c7222c8d68f3</t>
  </si>
  <si>
    <t xml:space="preserve">PRD-E7D66112</t>
  </si>
  <si>
    <t xml:space="preserve">BERLINER HAMMER</t>
  </si>
  <si>
    <t xml:space="preserve">Salim Group Of Company</t>
  </si>
  <si>
    <t xml:space="preserve">Diagnostic Instrument</t>
  </si>
  <si>
    <t xml:space="preserve">Instrument</t>
  </si>
  <si>
    <t xml:space="preserve">Diagnostic Instruments</t>
  </si>
  <si>
    <t xml:space="preserve">diagnostic_instruments</t>
  </si>
  <si>
    <t xml:space="preserve">2783301f-d4f7-4ce3-a51f-dff24e875e99</t>
  </si>
  <si>
    <t xml:space="preserve">PRD-MTHVITBH260</t>
  </si>
  <si>
    <t xml:space="preserve">Diagnostic Set</t>
  </si>
  <si>
    <t xml:space="preserve">e2ba0675-9ce2-4e5b-8d9f-4a8c54d00ba2</t>
  </si>
  <si>
    <t xml:space="preserve">PRD-B696D057</t>
  </si>
  <si>
    <t xml:space="preserve">HEAD LIGHT FOR THEATER</t>
  </si>
  <si>
    <t xml:space="preserve">e72cecb2-22a9-4dc8-a72e-62e69c8deb81</t>
  </si>
  <si>
    <t xml:space="preserve">PRD-MTHVIVTQ261</t>
  </si>
  <si>
    <t xml:space="preserve">Laryngoscope With Led Bulb 4 Blade Adult</t>
  </si>
  <si>
    <t xml:space="preserve">9a5c7ace-212d-459d-b831-cec824b4b31e</t>
  </si>
  <si>
    <t xml:space="preserve">PRD-MTHVIYBK262</t>
  </si>
  <si>
    <t xml:space="preserve">Laryngoscope With Led Bulb 4 Blade Paediatric</t>
  </si>
  <si>
    <t xml:space="preserve">a47a63ae-8ba4-4227-89ac-deee31aaf4e4</t>
  </si>
  <si>
    <t xml:space="preserve">PRD-MTHVJ0YY263</t>
  </si>
  <si>
    <t xml:space="preserve">Otoscope Set</t>
  </si>
  <si>
    <t xml:space="preserve">ec9fe5ec-263f-4a3e-a74d-39c568a49325</t>
  </si>
  <si>
    <t xml:space="preserve">PRD-083D70E4</t>
  </si>
  <si>
    <t xml:space="preserve">TAYLOR HAMMER</t>
  </si>
  <si>
    <t xml:space="preserve">d115ffd5-0700-4dfc-a253-ffbdd7a5540b</t>
  </si>
  <si>
    <t xml:space="preserve">PRD-MUNYBV7H</t>
  </si>
  <si>
    <t xml:space="preserve">Hiv1&amp;2 Test Kit</t>
  </si>
  <si>
    <t xml:space="preserve">Oscar Medicare Pvt. Ltd.(india)</t>
  </si>
  <si>
    <t xml:space="preserve">Hiv Test Kit</t>
  </si>
  <si>
    <t xml:space="preserve">No</t>
  </si>
  <si>
    <t xml:space="preserve">test_kits</t>
  </si>
  <si>
    <t xml:space="preserve">Out of stock</t>
  </si>
  <si>
    <t xml:space="preserve">fea031e0-5824-4efa-8da4-9ace01c9dc65</t>
  </si>
  <si>
    <t xml:space="preserve">PRD-0214</t>
  </si>
  <si>
    <t xml:space="preserve">Ferrous Sulphate 200mg Tablet(leben)</t>
  </si>
  <si>
    <t xml:space="preserve">Leben Laboratories Pvt. Ltd.(India)</t>
  </si>
  <si>
    <t xml:space="preserve">FERROUS SULPHATE 200MG</t>
  </si>
  <si>
    <t xml:space="preserve">Tablet</t>
  </si>
  <si>
    <t xml:space="preserve">Vitamins, Minerals &amp; Supplements(Oral Solid)</t>
  </si>
  <si>
    <t xml:space="preserve">Vitamins</t>
  </si>
  <si>
    <t xml:space="preserve">medicine</t>
  </si>
  <si>
    <t xml:space="preserve">health_supplement</t>
  </si>
  <si>
    <t xml:space="preserve">blood_booster</t>
  </si>
  <si>
    <t xml:space="preserve">5a019ca3-0733-4b08-a04e-2e3a47bad215</t>
  </si>
  <si>
    <t xml:space="preserve">PRD-7708</t>
  </si>
  <si>
    <t xml:space="preserve">Multitasque Capsule</t>
  </si>
  <si>
    <t xml:space="preserve">Scott-Edil Pharmacia Ltd.(India)</t>
  </si>
  <si>
    <t xml:space="preserve">GRAPE SEED EXTRACT 50MG+VITAMIN C 40MG+VITAMIN B3 18MG+VITAMIN E10MG+ZINC 10MG+MAGANESIUM 3MG+VITAMIN B5 3MG+VITAMIN B2 1.6MG+VITAMIN B1 1.4MG+VITAMIN B6 1MG+VITAMIN A600MCG+MANGANESE 250MCG+IRON 18MG+BIOTIN 150MCG+FOLIC ACID 100MCG+IODINE 30MCG+COPPER 30MCG+SELENIUM 30MCG+CHROMIUM 25MCG+CITAMIN D3 5MCG+VITAMIN B12 1MCG+MOLYBDENUM 45MCG</t>
  </si>
  <si>
    <t xml:space="preserve">Capsule</t>
  </si>
  <si>
    <t xml:space="preserve">c61ba6ed-d569-4ee8-a2b9-90e308f4c428</t>
  </si>
  <si>
    <t xml:space="preserve">PRD-MTHVME5F304</t>
  </si>
  <si>
    <t xml:space="preserve">Roxy Plus 200ml Syrup</t>
  </si>
  <si>
    <t xml:space="preserve">Pt Sanbe Farma(Indonesia)</t>
  </si>
  <si>
    <t xml:space="preserve">Ferrice Ammonium Citrate 120mg+Folic Acid 0.75mg+Copper Sulphate 0.75mg+Cyanocobalamine 7.5mcg+Manganese Sulphte 0.5mg+Magnesium Chloride 0.5mg/5ml</t>
  </si>
  <si>
    <t xml:space="preserve">Syrup</t>
  </si>
  <si>
    <t xml:space="preserve">Vitamins, Minerals &amp; Supplements(Oral Liquid)</t>
  </si>
  <si>
    <t xml:space="preserve">Iron &amp; Hematinics</t>
  </si>
  <si>
    <t xml:space="preserve">31a883d1-2dc1-40bd-8867-58cf771c2b29</t>
  </si>
  <si>
    <t xml:space="preserve">PRD-MTHVMPGY308</t>
  </si>
  <si>
    <t xml:space="preserve">Cartilcollagen Sg Capsule</t>
  </si>
  <si>
    <t xml:space="preserve">Galaxy Vitacare Pvt. Ltd.</t>
  </si>
  <si>
    <t xml:space="preserve">Glucosamine Sulfate 500mg+Cissus Quadrangularis 300mg+Collagen 150mg+Chondroitin Sulphate 100mg+Vitamin C 30mg+Hyaluronic Acid 25mg</t>
  </si>
  <si>
    <t xml:space="preserve">Joint Health Supplements</t>
  </si>
  <si>
    <t xml:space="preserve">bone_and_joint_health</t>
  </si>
  <si>
    <t xml:space="preserve">6e2ea113-8bc8-49dc-a4a4-c87abb05ce7c</t>
  </si>
  <si>
    <t xml:space="preserve">PRD-MTHV5KSN102</t>
  </si>
  <si>
    <t xml:space="preserve">Uniortho 500mg Tablet</t>
  </si>
  <si>
    <t xml:space="preserve">Mankind Pharma Ltd.(India)</t>
  </si>
  <si>
    <t xml:space="preserve">Univestin 500mg</t>
  </si>
  <si>
    <t xml:space="preserve">3e82b121-9d81-4ada-b30f-983d13af4fa5</t>
  </si>
  <si>
    <t xml:space="preserve">PRD-MTHVMVIU310</t>
  </si>
  <si>
    <t xml:space="preserve">Fertilion F Soft Gelatin Capsule</t>
  </si>
  <si>
    <t xml:space="preserve">Inositol(Myo Inositol) 200mg+D-Chiro-Inositol 10mg+Vitamin C 75mg+P.a.b.a 12.5mg+Folic Acid 1.5mg+L-Arginine 10mg+Vitamin B1 5mg+Vitamin B6 5mg+Vitamin B2 2.5mg+Methylcobalamin 500mcg+Retinmol 375mg+Vitamin D3 12.5mcg+Vitamin E 12.5+Magnesium 25mg+Zinc 10mg+Iron 9mg+Copper 750mcg+Manganese 1.5mcg+Selenium 100mcg+Iodine 50mcg+Chromium 50mcg</t>
  </si>
  <si>
    <t xml:space="preserve">Fertility &amp; Reproductive Support</t>
  </si>
  <si>
    <t xml:space="preserve">fertility_and_reproductive_health</t>
  </si>
  <si>
    <t xml:space="preserve">c240bc56-d642-47bc-a03d-d3b3e3c19b45</t>
  </si>
  <si>
    <t xml:space="preserve">PRD-MTHVN568313</t>
  </si>
  <si>
    <t xml:space="preserve">Fertilion M Soft Gelatin Capsule</t>
  </si>
  <si>
    <t xml:space="preserve">Lycopene 10mg+Co-Enzyme Q10 50mg+L-Glutathione 50mg+Vitamin E 12.5mg+Vitamin C 75mg+L-Carnitine 50mg+Korean Ginseng Extract 10mg+Zinc 7.5mg+Folic Acid 1.5mg+Iron 5mg+Vitamin B6 5mg+Manganese 2mg+Selenium 100mcg+Vitamin D3 12.5mcg+Vitamin B1 5mg+Methylcobalamine 750mcg+Retinol 375mg</t>
  </si>
  <si>
    <t xml:space="preserve">f2c1c243-3e65-437c-8e07-71d01d659833</t>
  </si>
  <si>
    <t xml:space="preserve">PRD-MTHV492686</t>
  </si>
  <si>
    <t xml:space="preserve">Weltek Cardio Capsule</t>
  </si>
  <si>
    <t xml:space="preserve">Msn Laboratories Private Limited(India)</t>
  </si>
  <si>
    <t xml:space="preserve">Coenzyme Q10 100mg+Omega 3 Fatty Acid(Epa 90mg&amp;Dha 60mg)+Lycopene 4mg+Vitamin E 12iu+Selenium 27mcg</t>
  </si>
  <si>
    <t xml:space="preserve">Cardiac Support Supplements</t>
  </si>
  <si>
    <t xml:space="preserve">heart_health</t>
  </si>
  <si>
    <t xml:space="preserve">721889c8-7468-4f3f-8256-915d3a3eb8e3</t>
  </si>
  <si>
    <t xml:space="preserve">PRD-MUR2DLBK</t>
  </si>
  <si>
    <t xml:space="preserve">Nat B Forte Capsule</t>
  </si>
  <si>
    <t xml:space="preserve">Mega Lifescience Pty.ltd.</t>
  </si>
  <si>
    <t xml:space="preserve">Vitamin B1 100mg+vitamin B6 200mg+vitamin B12 500mcg+folic Acid 200mcg+vitamin E 200iu+vitamin A 5000iu+vitamin D3 0.4mg+copper 1mg+chromium 0.2mg+zinc 15mg</t>
  </si>
  <si>
    <t xml:space="preserve">Neuro Support Supplements</t>
  </si>
  <si>
    <t xml:space="preserve">mental_focus_and_sleep</t>
  </si>
  <si>
    <t xml:space="preserve">df76ae31-c92e-4890-88c7-b98fe588a22b</t>
  </si>
  <si>
    <t xml:space="preserve">PRD-MTHV4TU593</t>
  </si>
  <si>
    <t xml:space="preserve">Weltek Neuro Capsule</t>
  </si>
  <si>
    <t xml:space="preserve">Methylcobalami 1500mcg+Alpha Lipoic Acid 100mg+Inositol 100mg+Benfotiamine 100mg+Pyridoxine 3mg+Folic Acid 1.5mg</t>
  </si>
  <si>
    <t xml:space="preserve">847c535a-91e9-434d-8f59-9e6966abcd14</t>
  </si>
  <si>
    <t xml:space="preserve">PRD-MTHV4QQ092</t>
  </si>
  <si>
    <t xml:space="preserve">Weltek Relaax 30ml</t>
  </si>
  <si>
    <t xml:space="preserve">L-Tryptophan 5mg+Indian Valerian 30mg+L-Theanine 3mg+Melatonin 3mg/Ml</t>
  </si>
  <si>
    <t xml:space="preserve">Sleep &amp; Relaxation Supplements</t>
  </si>
  <si>
    <t xml:space="preserve">2378000b-397d-4740-b32c-ad12b7677f04</t>
  </si>
  <si>
    <t xml:space="preserve">PRD-MTHV6HE9113</t>
  </si>
  <si>
    <t xml:space="preserve">Foliben 5mg Tablet</t>
  </si>
  <si>
    <t xml:space="preserve">Folic Acid 5mg</t>
  </si>
  <si>
    <t xml:space="preserve">vitamins_and_minerals</t>
  </si>
  <si>
    <t xml:space="preserve">fb871ad2-b939-455c-be76-2165f2a548e6</t>
  </si>
  <si>
    <t xml:space="preserve">PRD-MUUWP6I6</t>
  </si>
  <si>
    <t xml:space="preserve">Zeenk 20mg Tablet</t>
  </si>
  <si>
    <t xml:space="preserve">Universal Corporation Ltd(Kenya)</t>
  </si>
  <si>
    <t xml:space="preserve">Zinc Sulphate 20mg</t>
  </si>
  <si>
    <t xml:space="preserve">5623023f-aee5-47a5-8ba9-709c1cf09250</t>
  </si>
  <si>
    <t xml:space="preserve">PRD-MTHV4KWC90</t>
  </si>
  <si>
    <t xml:space="preserve">Weltek Getfit Capsule</t>
  </si>
  <si>
    <t xml:space="preserve">Garcinia Cambogia Extract 500mg+Green Coffee Extract 200mg+Green Tea Leaf Extract 200mg+Black Pepper Extract 20mg</t>
  </si>
  <si>
    <t xml:space="preserve">Weight Management Supplements</t>
  </si>
  <si>
    <t xml:space="preserve">weight_management</t>
  </si>
  <si>
    <t xml:space="preserve">e99bc9fd-ddeb-4c2e-b3ed-f203f1e80946</t>
  </si>
  <si>
    <t xml:space="preserve">PRD-0271</t>
  </si>
  <si>
    <t xml:space="preserve">Allerdin 10mg Tablet</t>
  </si>
  <si>
    <t xml:space="preserve">Mmc Healthcare Ltd.(India)</t>
  </si>
  <si>
    <t xml:space="preserve">Loratadine 10mg</t>
  </si>
  <si>
    <t xml:space="preserve">Tabl</t>
  </si>
  <si>
    <t xml:space="preserve">Respiratory &amp; ENT(Oral Solid)</t>
  </si>
  <si>
    <t xml:space="preserve">Antihistamines</t>
  </si>
  <si>
    <t xml:space="preserve">otc</t>
  </si>
  <si>
    <t xml:space="preserve">cough_cold_and_allergy</t>
  </si>
  <si>
    <t xml:space="preserve">33227c20-0691-4aef-bd44-8128e7d89f88</t>
  </si>
  <si>
    <t xml:space="preserve">PRD-MUV42FAN</t>
  </si>
  <si>
    <t xml:space="preserve">Allerfast 120mg Tablet</t>
  </si>
  <si>
    <t xml:space="preserve">Khandelwal Laboratories Pvt Ltd</t>
  </si>
  <si>
    <t xml:space="preserve">Fexofinadine 120mg</t>
  </si>
  <si>
    <t xml:space="preserve">622859d4-1978-4a09-a0cb-f15f1b30d434</t>
  </si>
  <si>
    <t xml:space="preserve">PRD-5659</t>
  </si>
  <si>
    <t xml:space="preserve">Cetcor 5mg Tablet</t>
  </si>
  <si>
    <t xml:space="preserve">Corona Remedies Private Limited(India)</t>
  </si>
  <si>
    <t xml:space="preserve">Cetrizine 10mg</t>
  </si>
  <si>
    <t xml:space="preserve">93715269-a49f-45ca-9d9f-d4a0103238d9</t>
  </si>
  <si>
    <t xml:space="preserve">PRD-MTHV8T2K140</t>
  </si>
  <si>
    <t xml:space="preserve">Chericof 100ml Cough Syrup</t>
  </si>
  <si>
    <t xml:space="preserve">Sun Pharmaceuticals Ind. Ltd.(India)</t>
  </si>
  <si>
    <t xml:space="preserve">Chlorphinaramine 2mg+Dextromethorphan 10mg+Phenylephrine 5mg/5ml</t>
  </si>
  <si>
    <t xml:space="preserve">Respiratory &amp; ENT(Oral Liquid)</t>
  </si>
  <si>
    <t xml:space="preserve">Cough &amp; Cold Combinations</t>
  </si>
  <si>
    <t xml:space="preserve">8e6e099a-576e-400c-80f8-4f7c9d5b682f</t>
  </si>
  <si>
    <t xml:space="preserve">PRD-MTHV7LN1125</t>
  </si>
  <si>
    <t xml:space="preserve">Cipium 2mg/5ml 100ml Syrup</t>
  </si>
  <si>
    <t xml:space="preserve">Chlorphinaramine 2mg/5ml</t>
  </si>
  <si>
    <t xml:space="preserve">96e471e2-3283-444e-a937-72a9fa8a160d</t>
  </si>
  <si>
    <t xml:space="preserve">PRD-MTHV2B7W63</t>
  </si>
  <si>
    <t xml:space="preserve">Dacof 100ml Dry Cough Syrup</t>
  </si>
  <si>
    <t xml:space="preserve">Dawa Limited(Kenya)</t>
  </si>
  <si>
    <t xml:space="preserve">Diphengydramine 12.5mg+Dextromethorphan 6.5mg+Menthol 1.10mg/5ml</t>
  </si>
  <si>
    <t xml:space="preserve">4533020c-a4d0-4f16-b6a3-3a0b8156b57e</t>
  </si>
  <si>
    <t xml:space="preserve">PRD-MTHV2EAM64</t>
  </si>
  <si>
    <t xml:space="preserve">Dacof 100ml Expectorant Cough Syrup</t>
  </si>
  <si>
    <t xml:space="preserve">Diphengydramine 14mg+Ammonium Chloride 135mg+Sodium Citrate 57mg+Menthol 1.10mg/5ml</t>
  </si>
  <si>
    <t xml:space="preserve">69d798ab-69eb-4a08-bbd5-971937b5f809</t>
  </si>
  <si>
    <t xml:space="preserve">PRD-MTHV2H9D65</t>
  </si>
  <si>
    <t xml:space="preserve">Dacof 100ml Paediatric Cough Syrup</t>
  </si>
  <si>
    <t xml:space="preserve">Diphengydramine 7mg+Sodium Citrate 28.5mg+Menthol 0.55mg/5ml</t>
  </si>
  <si>
    <t xml:space="preserve">dae602f9-bede-4dcc-8bb2-068b25e4586f</t>
  </si>
  <si>
    <t xml:space="preserve">PRD-MTHVNEQM316</t>
  </si>
  <si>
    <t xml:space="preserve">Flucoldex Cold&amp;Flu Tablet</t>
  </si>
  <si>
    <t xml:space="preserve">Paracetamol 500mg+Phenylephrine 5mg+Caffiene 30mg+Chlorphiniramine 2mg</t>
  </si>
  <si>
    <t xml:space="preserve">Cold &amp; Flu Combinations</t>
  </si>
  <si>
    <t xml:space="preserve">ec01f18f-ba14-498d-a8b9-c922f5bbb219</t>
  </si>
  <si>
    <t xml:space="preserve">PRD-MUNW0YAH</t>
  </si>
  <si>
    <t xml:space="preserve">Sinarest 100ml Syrup</t>
  </si>
  <si>
    <t xml:space="preserve">Centaur Pharmaceuticals Pvt. Ltd.</t>
  </si>
  <si>
    <t xml:space="preserve">Chlorphinaramine 4mg+Dextromethorphan 10mg/5ML</t>
  </si>
  <si>
    <t xml:space="preserve">56257363-6d74-41d7-9597-e40ed1865181</t>
  </si>
  <si>
    <t xml:space="preserve">PRD-MTHVFFE9219</t>
  </si>
  <si>
    <t xml:space="preserve">Upacof 100ml Dry Cough Syrup</t>
  </si>
  <si>
    <t xml:space="preserve">Dextromethorphan Hydrobromide 15mg</t>
  </si>
  <si>
    <t xml:space="preserve">Antitussives</t>
  </si>
  <si>
    <t xml:space="preserve">6d07e7d5-e037-43e1-bfce-036b9b59f33d</t>
  </si>
  <si>
    <t xml:space="preserve">PRD-MTHVFIL4220</t>
  </si>
  <si>
    <t xml:space="preserve">Upacof 100ml Expectorant</t>
  </si>
  <si>
    <t xml:space="preserve">Diphenhydramine Hydrochloride 12.5mg+Ammonium Chloride 120mg+Sodium Citrate 50mg+Menthol 1mg/5ml</t>
  </si>
  <si>
    <t xml:space="preserve">Expectorants &amp; Cough</t>
  </si>
  <si>
    <t xml:space="preserve">3d7dab84-eed2-46c6-ba32-e11651cdb2db</t>
  </si>
  <si>
    <t xml:space="preserve">PRD-MTHV7IKM124</t>
  </si>
  <si>
    <t xml:space="preserve">Antagit Ds 170ml Gel</t>
  </si>
  <si>
    <t xml:space="preserve">Dried Aluminium Hydroxide 400mg+Magnesium Hydroxide 400mg+Simethicone 50mg</t>
  </si>
  <si>
    <t xml:space="preserve">Gastrointestinal(Oral Liquid)</t>
  </si>
  <si>
    <t xml:space="preserve">Antacids</t>
  </si>
  <si>
    <t xml:space="preserve">digestive_health</t>
  </si>
  <si>
    <t xml:space="preserve">455dc7f3-c934-44f6-bf43-b47844c9023d</t>
  </si>
  <si>
    <t xml:space="preserve">PRD-NHIMASEP04</t>
  </si>
  <si>
    <t xml:space="preserve">CLEARLAX 5MG TABLET</t>
  </si>
  <si>
    <t xml:space="preserve">HEALING PHARMA</t>
  </si>
  <si>
    <t xml:space="preserve">BISACODYL 5MG</t>
  </si>
  <si>
    <t xml:space="preserve">Gastrointestinal(Oral Solid)</t>
  </si>
  <si>
    <t xml:space="preserve">Laxatives &amp; Fibre</t>
  </si>
  <si>
    <t xml:space="preserve">cd62d80a-05bc-4ed4-bcdc-b2cfb101ed98</t>
  </si>
  <si>
    <t xml:space="preserve">PRD-2810</t>
  </si>
  <si>
    <t xml:space="preserve">Eva Q 10mg/15ml 200ml Syrup</t>
  </si>
  <si>
    <t xml:space="preserve">Medley Pharmaceuticals Ltd.</t>
  </si>
  <si>
    <t xml:space="preserve">Lactilol Monohydrate 10gm/15ml</t>
  </si>
  <si>
    <t xml:space="preserve">61c25a2e-9e9e-4bd2-b5cc-feca91e02a7b</t>
  </si>
  <si>
    <t xml:space="preserve">PRD-MTHV0XBH48</t>
  </si>
  <si>
    <t xml:space="preserve">Fibolax 5gm*10 Powder Sachet</t>
  </si>
  <si>
    <t xml:space="preserve">West-Coast Pharmaceuticals Works Ltd.(India)</t>
  </si>
  <si>
    <t xml:space="preserve">Ispaghula Husk 3.5gm/Sachet</t>
  </si>
  <si>
    <t xml:space="preserve">Powder For Oral Use</t>
  </si>
  <si>
    <t xml:space="preserve">b4f7f630-cf9a-46fa-b48b-9843fcdf4c8b</t>
  </si>
  <si>
    <t xml:space="preserve">PRD-MUXWWWGY</t>
  </si>
  <si>
    <t xml:space="preserve">Mmt Africure Tablet</t>
  </si>
  <si>
    <t xml:space="preserve">Africure Pharmaceuticals(india) Pvt. Ltd.</t>
  </si>
  <si>
    <t xml:space="preserve">Magnesium Trisilicate 250MG + Aluminum Hydroxide 120MG</t>
  </si>
  <si>
    <t xml:space="preserve">Proton Pump Inhibitors</t>
  </si>
  <si>
    <t xml:space="preserve">Antacid (ERP filed under PPIs)</t>
  </si>
  <si>
    <t xml:space="preserve">fe05f9a7-a0a2-4a23-9246-1100a86fcf06</t>
  </si>
  <si>
    <t xml:space="preserve">PRD-1684</t>
  </si>
  <si>
    <t xml:space="preserve">Ors 20.5gm</t>
  </si>
  <si>
    <t xml:space="preserve">Fdc Limited(India)</t>
  </si>
  <si>
    <t xml:space="preserve">Sodium Chloride 2.6gm+Potassium Chloride 1.5gm+Trisodium Citrate Dihydrate 2.9gm+Anhydrous Glucose 13.5gm</t>
  </si>
  <si>
    <t xml:space="preserve">Oral Rehydration Salts</t>
  </si>
  <si>
    <t xml:space="preserve">5477ff28-0d02-4b76-b531-4ee704120dd2</t>
  </si>
  <si>
    <t xml:space="preserve">PRD-MUME2Y57</t>
  </si>
  <si>
    <t xml:space="preserve">Osmolax 3.35gm/5ml 100ml Syrup</t>
  </si>
  <si>
    <t xml:space="preserve">Square Pharmaceuticals Plc(Bangladesh)</t>
  </si>
  <si>
    <t xml:space="preserve">Lactulose  3.35gm/5ml</t>
  </si>
  <si>
    <t xml:space="preserve">4ead2927-9580-4b6d-a8d5-103b80b41aae</t>
  </si>
  <si>
    <t xml:space="preserve">PRD-MTHV4NLU91</t>
  </si>
  <si>
    <t xml:space="preserve">Weltek Fibre 90gm Powder</t>
  </si>
  <si>
    <t xml:space="preserve">Lactilol Monohydrate 10gm+Ispaghula Husk 3.5gm/15gm</t>
  </si>
  <si>
    <t xml:space="preserve">3c1b5fc1-e3f1-4502-9bb1-c13a1b2a916f</t>
  </si>
  <si>
    <t xml:space="preserve">PRD-7323</t>
  </si>
  <si>
    <t xml:space="preserve">Abnal 0.9% W/v 10ml Nasal Drops</t>
  </si>
  <si>
    <t xml:space="preserve">Abacus Parenteral Drugs Ltd.</t>
  </si>
  <si>
    <t xml:space="preserve">Sodium Chloride 0.9% W/v</t>
  </si>
  <si>
    <t xml:space="preserve">Nasal Spray</t>
  </si>
  <si>
    <t xml:space="preserve">Respiratory &amp; ENT(Inhalational)</t>
  </si>
  <si>
    <t xml:space="preserve">Nasal Decongestants</t>
  </si>
  <si>
    <t xml:space="preserve">eye_ear_and_nose_care</t>
  </si>
  <si>
    <t xml:space="preserve">ee893347-a9fa-4a20-a3e8-a13a0678d900</t>
  </si>
  <si>
    <t xml:space="preserve">PRD-MTHUWXYS8</t>
  </si>
  <si>
    <t xml:space="preserve">Carboxy Ds 0.05% 10ml Eye Drop</t>
  </si>
  <si>
    <t xml:space="preserve">Protech Remedies Pvt. Ltd.</t>
  </si>
  <si>
    <t xml:space="preserve">Carboxy Methyl Cellulose 0.05% W/V</t>
  </si>
  <si>
    <t xml:space="preserve">Eye Drop</t>
  </si>
  <si>
    <t xml:space="preserve">Ophthalmology(Topical)</t>
  </si>
  <si>
    <t xml:space="preserve">Lubricant Eye Drops</t>
  </si>
  <si>
    <t xml:space="preserve">306bc8b2-6606-48c9-8661-5961a9dae4b4</t>
  </si>
  <si>
    <t xml:space="preserve">PRD-MTHV117G49</t>
  </si>
  <si>
    <t xml:space="preserve">Xylone 0.05% W/W 15ml Paediatric Nasal Drops</t>
  </si>
  <si>
    <t xml:space="preserve">Xylometazoline 0.05%W/V</t>
  </si>
  <si>
    <t xml:space="preserve">c59281d9-613d-45b3-9246-1ed92a23e600</t>
  </si>
  <si>
    <t xml:space="preserve">PRD-MTHV149650</t>
  </si>
  <si>
    <t xml:space="preserve">Xylone 0.1% W/W 15ml Adult Nasal Drops</t>
  </si>
  <si>
    <t xml:space="preserve">Xylometazoline 0.01%W/V</t>
  </si>
  <si>
    <t xml:space="preserve">505a467d-932a-43ec-88bb-16ac6e1ac10a</t>
  </si>
  <si>
    <t xml:space="preserve">PRD-MTHVMYZ8311</t>
  </si>
  <si>
    <t xml:space="preserve">Co-Ex 100ml Syrup</t>
  </si>
  <si>
    <t xml:space="preserve">Bhargava Phytolab Pvt. Ltd.(India)</t>
  </si>
  <si>
    <t xml:space="preserve">Justicia Adhatoda Q 3.30ml+Passiflora Incarnata Q 3.30ml+Aspidosperma Quebracho Q 1.65ml+Yerba Santa Q 1.65ml+Ipecacuanha Q 1.65ml</t>
  </si>
  <si>
    <t xml:space="preserve">Homeopathic &amp; Herbal Remedies(Oral Liquid)</t>
  </si>
  <si>
    <t xml:space="preserve">Herbal Cough Remedies</t>
  </si>
  <si>
    <t xml:space="preserve">herbal_and_homeopathic</t>
  </si>
  <si>
    <t xml:space="preserve">820389ed-ef8b-4f0f-87ca-80aaf6fa27f8</t>
  </si>
  <si>
    <t xml:space="preserve">PRD-MTHVM3OK301</t>
  </si>
  <si>
    <t xml:space="preserve">Kidflam Tablet</t>
  </si>
  <si>
    <t xml:space="preserve">Berberis Vulgaris 75mg+Cantharis Vesicotoiria 75mg+Dioscorea Villosa 25mg+Pteroselinum Sativum 25mg+Stigmata Maydis 40mg+Thuja Occidentalis 20mg+Uva Ursi 20mg+Vesicaria Communis 20mg</t>
  </si>
  <si>
    <t xml:space="preserve">Homeopathic &amp; Herbal Remedies(Oral Solid)</t>
  </si>
  <si>
    <t xml:space="preserve">Urinary Homeopathic</t>
  </si>
  <si>
    <t xml:space="preserve">b54b060b-97e7-4a70-b6f5-3f7ad2caa728</t>
  </si>
  <si>
    <t xml:space="preserve">PRD-MTHVLTIT298</t>
  </si>
  <si>
    <t xml:space="preserve">Meniphib Tablet</t>
  </si>
  <si>
    <t xml:space="preserve">Agnus Castus 178mg+Caulophyllum Thalictroids 84mg+Cyclamen Europaeum 84mg+Ignatia Amara 42mg+Iris Versicolor 170mg+Lillium Tigrinum 60mg</t>
  </si>
  <si>
    <t xml:space="preserve">Women's Health Homeopathic</t>
  </si>
  <si>
    <t xml:space="preserve">98f9f06e-197c-49a1-b33a-e71058f8bed2</t>
  </si>
  <si>
    <t xml:space="preserve">PRD-MTHVNL6I318</t>
  </si>
  <si>
    <t xml:space="preserve">Prostoral Tablet</t>
  </si>
  <si>
    <t xml:space="preserve">Sabal Serrulata 3x+Chimaphila Umbellata 3x+Hydrangea Arborescens 3x+Pareira Brava 6x+Thuja Occidentalis 3x+Staphysagria 3x+Ferrum Picricum 3x</t>
  </si>
  <si>
    <t xml:space="preserve">Men's Health Herbal</t>
  </si>
  <si>
    <t xml:space="preserve">55c6a9d9-4f9c-48ef-9f12-96b48c2b7ebc</t>
  </si>
  <si>
    <t xml:space="preserve">PRD-MTHVM6WB302</t>
  </si>
  <si>
    <t xml:space="preserve">Thunder M Tablet</t>
  </si>
  <si>
    <t xml:space="preserve">Damiana 0.03ml+Acid Phos 0.13ml+Ginseng 0.02ml+Slenium 0.02mg+Yohimbinum 0.02ml</t>
  </si>
  <si>
    <t xml:space="preserve">e657186b-0886-41ec-91da-7acff0ea0017</t>
  </si>
  <si>
    <t xml:space="preserve">PRD-6337</t>
  </si>
  <si>
    <t xml:space="preserve">Oramint 100ml Mouthwash</t>
  </si>
  <si>
    <t xml:space="preserve">Sorbitol Solution 70% + Glycerine + Chlorhexidine Gluconate</t>
  </si>
  <si>
    <t xml:space="preserve">Suspension</t>
  </si>
  <si>
    <t xml:space="preserve">Topical Dental and Oral Agents</t>
  </si>
  <si>
    <t xml:space="preserve">Anti-gingivitis</t>
  </si>
  <si>
    <t xml:space="preserve">oral_care</t>
  </si>
  <si>
    <t xml:space="preserve">acfea57e-0323-4484-b95f-4e5cbf607c0c</t>
  </si>
  <si>
    <t xml:space="preserve">PRD-4113</t>
  </si>
  <si>
    <t xml:space="preserve">Zylo P 10% 100ml Topical Solution</t>
  </si>
  <si>
    <t xml:space="preserve">Leb</t>
  </si>
  <si>
    <t xml:space="preserve">Povidone Iodine 10% W/v</t>
  </si>
  <si>
    <t xml:space="preserve">Sus</t>
  </si>
  <si>
    <t xml:space="preserve">5c1df02d-a06d-4d56-bc6c-9bc2b497e627</t>
  </si>
  <si>
    <t xml:space="preserve">PRD-MTHVNZ6Y322</t>
  </si>
  <si>
    <t xml:space="preserve">Ace 80mg/Ml 30ml Paediatric Drop</t>
  </si>
  <si>
    <t xml:space="preserve">Paracetamol 80mg/Ml</t>
  </si>
  <si>
    <t xml:space="preserve">Analgesics &amp; Anti-Inflammatory(Oral Liquid)</t>
  </si>
  <si>
    <t xml:space="preserve">Antipyretics-Analgesics (Paracetamol)</t>
  </si>
  <si>
    <t xml:space="preserve">pain_and_fever_relief</t>
  </si>
  <si>
    <t xml:space="preserve">fc5c4e31-bd50-40b5-bdbc-c658b8b7c987</t>
  </si>
  <si>
    <t xml:space="preserve">PRD-MTHVQL22350</t>
  </si>
  <si>
    <t xml:space="preserve">Calpol 100ml Syrup</t>
  </si>
  <si>
    <t xml:space="preserve">Haleon South Africa(Pty) Ltd</t>
  </si>
  <si>
    <t xml:space="preserve">Paracetamol 125mg/5ml</t>
  </si>
  <si>
    <t xml:space="preserve">a91afbf0-08c0-4691-b7a5-dcba75413a52</t>
  </si>
  <si>
    <t xml:space="preserve">PRD-MTHUZ28G30</t>
  </si>
  <si>
    <t xml:space="preserve">Curamol 500mg Tablet</t>
  </si>
  <si>
    <t xml:space="preserve">Paracetamol 500mg</t>
  </si>
  <si>
    <t xml:space="preserve">Analgesics &amp; Anti-Inflammatory(Oral Solid)</t>
  </si>
  <si>
    <t xml:space="preserve">ef4d8621-cb93-4665-a274-b7aa325d3450</t>
  </si>
  <si>
    <t xml:space="preserve">PRD-MTHV18AV51</t>
  </si>
  <si>
    <t xml:space="preserve">Deep Ache 25gm Cream</t>
  </si>
  <si>
    <t xml:space="preserve">Methyl Salicylate 15%W/W+Menthol 10%W/W+Eucalyptus Oil 2%W/W+Turpentine Oil 2%+Camphor 3%W/W</t>
  </si>
  <si>
    <t xml:space="preserve">Cream</t>
  </si>
  <si>
    <t xml:space="preserve">Analgesics &amp; Anti-Inflammatory(Topical)</t>
  </si>
  <si>
    <t xml:space="preserve">Topical Analgesics</t>
  </si>
  <si>
    <t xml:space="preserve">Topical pain relief</t>
  </si>
  <si>
    <t xml:space="preserve">40b3b31d-ef73-4b23-b9d0-2377b68723ec</t>
  </si>
  <si>
    <t xml:space="preserve">PRD-MTHVFBU0218</t>
  </si>
  <si>
    <t xml:space="preserve">Diclo 100ml Spray</t>
  </si>
  <si>
    <t xml:space="preserve">Umedica Laboratories Pvt. Ltd.(India)</t>
  </si>
  <si>
    <t xml:space="preserve">Diclofenac Diethylamine 1.16%W/W+Linseed Oil 3%+Methyl Salicylate 10.00%+Menthol 5%</t>
  </si>
  <si>
    <t xml:space="preserve">Topical Spray</t>
  </si>
  <si>
    <t xml:space="preserve">Topical NSAIDs</t>
  </si>
  <si>
    <t xml:space="preserve">5f3cc42a-931c-4fec-9073-c61073b8d489</t>
  </si>
  <si>
    <t xml:space="preserve">PRD-MTHUZG0F34</t>
  </si>
  <si>
    <t xml:space="preserve">Dynapar Qps 30ml Spray</t>
  </si>
  <si>
    <t xml:space="preserve">Troikaa Pharmaceuticals Ltd(India)</t>
  </si>
  <si>
    <t xml:space="preserve">Diclofenac Diethylamine 4.64% W/V+Absolute Alcohol 10% W/V</t>
  </si>
  <si>
    <t xml:space="preserve">2c7d85d1-45a0-4eeb-9495-f82a58f5c501</t>
  </si>
  <si>
    <t xml:space="preserve">PRD-8223</t>
  </si>
  <si>
    <t xml:space="preserve">Fego 500mg Tablet</t>
  </si>
  <si>
    <t xml:space="preserve">Jmb Pharmaceuticals Pvt.Ltd.</t>
  </si>
  <si>
    <t xml:space="preserve">dc5facf9-a28c-4083-a832-63b5de3c7720</t>
  </si>
  <si>
    <t xml:space="preserve">PRD-MTHV70PS118</t>
  </si>
  <si>
    <t xml:space="preserve">Kaldol 120mg/5ml Oral Suspension</t>
  </si>
  <si>
    <t xml:space="preserve">Paracetamol 120mg/5ml</t>
  </si>
  <si>
    <t xml:space="preserve">5e9d7d1a-7c31-4c77-b202-9e1876d1a209</t>
  </si>
  <si>
    <t xml:space="preserve">PRD-MUV43YLF</t>
  </si>
  <si>
    <t xml:space="preserve">Xykaa 1000mg Er Tablet</t>
  </si>
  <si>
    <t xml:space="preserve">Paracetamol 1000mg</t>
  </si>
  <si>
    <t xml:space="preserve">577fd977-3352-48d6-bd57-b8181c09852d</t>
  </si>
  <si>
    <t xml:space="preserve">PRD-MUR23SRE</t>
  </si>
  <si>
    <t xml:space="preserve">Abpara 1% W/v 100ml Infusion</t>
  </si>
  <si>
    <t xml:space="preserve">Paracetamol 100mg/Ml 100ml Infusion</t>
  </si>
  <si>
    <t xml:space="preserve">Injection</t>
  </si>
  <si>
    <t xml:space="preserve">Analgesics &amp; Anti-Inflammatory(Injectable)</t>
  </si>
  <si>
    <t xml:space="preserve">prescription</t>
  </si>
  <si>
    <t xml:space="preserve">analgesics_and_anti_inflammatory</t>
  </si>
  <si>
    <t xml:space="preserve">Paracetamol infusion = prescription</t>
  </si>
  <si>
    <t xml:space="preserve">05c98e47-2d1a-46b9-9ad0-2b98822900a5</t>
  </si>
  <si>
    <t xml:space="preserve">PRD-MTHV7OI2126</t>
  </si>
  <si>
    <t xml:space="preserve">Adiflam Plus 900mg Tablet</t>
  </si>
  <si>
    <t xml:space="preserve">Ibuprofen 400mg +Paracetamol 500mg</t>
  </si>
  <si>
    <t xml:space="preserve">NSAID Combinations</t>
  </si>
  <si>
    <t xml:space="preserve">8b58d4a6-4ad7-47e0-80a7-3a6b13de9a1d</t>
  </si>
  <si>
    <t xml:space="preserve">PRD-MTHVMH11305</t>
  </si>
  <si>
    <t xml:space="preserve">Asera-P 600mg Tablet</t>
  </si>
  <si>
    <t xml:space="preserve">Aceclofenac 100mg+Paracetamol 500mg</t>
  </si>
  <si>
    <t xml:space="preserve">52c6307a-5c6d-4ba8-a60e-556fafb9f20d</t>
  </si>
  <si>
    <t xml:space="preserve">PRD-MTHVMJYW306</t>
  </si>
  <si>
    <t xml:space="preserve">Auroxicam 15mg Tablet</t>
  </si>
  <si>
    <t xml:space="preserve">Aurobindo Pharma Ltd.(India)</t>
  </si>
  <si>
    <t xml:space="preserve">Meloxicam 15mg</t>
  </si>
  <si>
    <t xml:space="preserve">NSAIDs</t>
  </si>
  <si>
    <t xml:space="preserve">2c03060d-f50c-4afa-82c1-d4331185e452</t>
  </si>
  <si>
    <t xml:space="preserve">PRD-0942</t>
  </si>
  <si>
    <t xml:space="preserve">Baclofen 10mg Tablet(teva)</t>
  </si>
  <si>
    <t xml:space="preserve">Teva UK Limited</t>
  </si>
  <si>
    <t xml:space="preserve">BACLOFEN 10MG</t>
  </si>
  <si>
    <t xml:space="preserve">Muscle Relaxants</t>
  </si>
  <si>
    <t xml:space="preserve">4fbf4059-5c7d-4229-a375-540db95c6f1d</t>
  </si>
  <si>
    <t xml:space="preserve">PRD-MTHVE9I0206</t>
  </si>
  <si>
    <t xml:space="preserve">Bruplus 325mg/5ml 60ml Oral Suspension</t>
  </si>
  <si>
    <t xml:space="preserve">Psa International(India)</t>
  </si>
  <si>
    <t xml:space="preserve">Ibuprofen 100mg+Paracetamol 125mg/5ml</t>
  </si>
  <si>
    <t xml:space="preserve">cfd15f14-e2d3-426a-a86e-791aef6659f5</t>
  </si>
  <si>
    <t xml:space="preserve">PRD-MTHV9Q6Z151</t>
  </si>
  <si>
    <t xml:space="preserve">Brustan 725mg Tablet</t>
  </si>
  <si>
    <t xml:space="preserve">Ibuprofen 400mg +Paracetamol 325mg</t>
  </si>
  <si>
    <t xml:space="preserve">62858c59-2840-475f-be7a-b302eceea106</t>
  </si>
  <si>
    <t xml:space="preserve">PRD-MTHV4F8I88</t>
  </si>
  <si>
    <t xml:space="preserve">Brutaflam 120mg Tablet</t>
  </si>
  <si>
    <t xml:space="preserve">Etoricoxib 120mg</t>
  </si>
  <si>
    <t xml:space="preserve">NSAIDs (COX-2 Inhibitors)</t>
  </si>
  <si>
    <t xml:space="preserve">c152d410-124f-4d41-9854-26650c71b81e</t>
  </si>
  <si>
    <t xml:space="preserve">PRD-MTHV4HY789</t>
  </si>
  <si>
    <t xml:space="preserve">Brutaflam 90mg Tablet</t>
  </si>
  <si>
    <t xml:space="preserve">Etoricoxib 90mg</t>
  </si>
  <si>
    <t xml:space="preserve">b1750ec4-acf0-4753-b9c9-d04f118be357</t>
  </si>
  <si>
    <t xml:space="preserve">PRD-MTHV2K4N66</t>
  </si>
  <si>
    <t xml:space="preserve">Difisal 50mg Tablet</t>
  </si>
  <si>
    <t xml:space="preserve">Kopran Limited(India)</t>
  </si>
  <si>
    <t xml:space="preserve">Diclofenac 50mg</t>
  </si>
  <si>
    <t xml:space="preserve">c200cf90-2268-4146-ade1-d0de33811dbb</t>
  </si>
  <si>
    <t xml:space="preserve">PRD-MTHV0GJ243</t>
  </si>
  <si>
    <t xml:space="preserve">Ds-100mg Tablet</t>
  </si>
  <si>
    <t xml:space="preserve">Diclofenac 100mg</t>
  </si>
  <si>
    <t xml:space="preserve">87395a8c-968d-4ea8-86c8-a565764c9ae4</t>
  </si>
  <si>
    <t xml:space="preserve">PRD-MTHVED0A207</t>
  </si>
  <si>
    <t xml:space="preserve">Dufenac 75mg Capsule</t>
  </si>
  <si>
    <t xml:space="preserve">Gulien Pharmaceuticals Co. Ltd(China)</t>
  </si>
  <si>
    <t xml:space="preserve">Diclofenac 75mg</t>
  </si>
  <si>
    <t xml:space="preserve">440a9d53-e852-4cd1-bcd6-3df448f4b265</t>
  </si>
  <si>
    <t xml:space="preserve">PRD-MTHUZ9T332</t>
  </si>
  <si>
    <t xml:space="preserve">Dynapar 50/500mg Tablet</t>
  </si>
  <si>
    <t xml:space="preserve">Diclofenac 50mg+Paracetamol 500mg</t>
  </si>
  <si>
    <t xml:space="preserve">2a8ccc02-3efb-4c24-af2c-335b86ceb52b</t>
  </si>
  <si>
    <t xml:space="preserve">PRD-MTHV3QOC80</t>
  </si>
  <si>
    <t xml:space="preserve">Flamar Mx 625mg Tablet</t>
  </si>
  <si>
    <t xml:space="preserve">Indoco Remedies Limited(India)</t>
  </si>
  <si>
    <t xml:space="preserve">Chlorzoxazone 250mg+Diclofenac 50mg+Paracetamol 325mg</t>
  </si>
  <si>
    <t xml:space="preserve">Muscle Relaxant Combinations</t>
  </si>
  <si>
    <t xml:space="preserve">e5d8679b-b48a-45ad-9df1-5e019a53f81f</t>
  </si>
  <si>
    <t xml:space="preserve">PRD-MTHV5O0W103</t>
  </si>
  <si>
    <t xml:space="preserve">Flamcid 25mg Capsule</t>
  </si>
  <si>
    <t xml:space="preserve">Saga Lifescience Limited(India)</t>
  </si>
  <si>
    <t xml:space="preserve">Indomethacin 25mg</t>
  </si>
  <si>
    <t xml:space="preserve">a7d826ba-e27b-4c06-95b6-ab2d44c9dad2</t>
  </si>
  <si>
    <t xml:space="preserve">PRD-2931</t>
  </si>
  <si>
    <t xml:space="preserve">Hydrocortisone 100mg Injection(ciron)</t>
  </si>
  <si>
    <t xml:space="preserve">CIRON DRUGS(INDIA)</t>
  </si>
  <si>
    <t xml:space="preserve">Hydrocortisone 100mg</t>
  </si>
  <si>
    <t xml:space="preserve">Corticosteroids (Systemic)</t>
  </si>
  <si>
    <t xml:space="preserve">b9df3bea-4b65-47ee-9507-18a418569b35</t>
  </si>
  <si>
    <t xml:space="preserve">PRD-MTHVMAJU303</t>
  </si>
  <si>
    <t xml:space="preserve">Ibufil 100mg/5ml 100ml Oral Suspension</t>
  </si>
  <si>
    <t xml:space="preserve">Fourrts(India) Laboratories Pvt. Limited</t>
  </si>
  <si>
    <t xml:space="preserve">Ibuproffen 100mg/5ml</t>
  </si>
  <si>
    <t xml:space="preserve">9aa3b14a-d23f-41b7-9c80-a4b40c2e0a32</t>
  </si>
  <si>
    <t xml:space="preserve">PRD-3132</t>
  </si>
  <si>
    <t xml:space="preserve">Lycortin-S 100mg Injection</t>
  </si>
  <si>
    <t xml:space="preserve">Lyka Labs Limited(India)</t>
  </si>
  <si>
    <t xml:space="preserve">f61a5ddb-4d02-4be1-94d7-7cd98bcf6401</t>
  </si>
  <si>
    <t xml:space="preserve">PRD-MTHV9VY0153</t>
  </si>
  <si>
    <t xml:space="preserve">M-Cam 15mg Tablet</t>
  </si>
  <si>
    <t xml:space="preserve">Unichem Laboratories Ltd.(India)</t>
  </si>
  <si>
    <t xml:space="preserve">7a6347f0-c283-4062-b3a9-48c20a1fff68</t>
  </si>
  <si>
    <t xml:space="preserve">PRD-MUV3ZKA3</t>
  </si>
  <si>
    <t xml:space="preserve">Mepen 250mg Tablet</t>
  </si>
  <si>
    <t xml:space="preserve">Unicure Laboratories Pvt. Ltd.(india)</t>
  </si>
  <si>
    <t xml:space="preserve">Mefenamic Acid 250mg</t>
  </si>
  <si>
    <t xml:space="preserve">6eaf57aa-1424-4462-8a0c-c28dbc392a3c</t>
  </si>
  <si>
    <t xml:space="preserve">PRD-MTHVQHVW349</t>
  </si>
  <si>
    <t xml:space="preserve">Myprodol Capsule</t>
  </si>
  <si>
    <t xml:space="preserve">Adcock Ingram Limited(South Africa)</t>
  </si>
  <si>
    <t xml:space="preserve">Codeine Phosphate 10mg+Ibuprofen 200mg+Paracetamol 250mg</t>
  </si>
  <si>
    <t xml:space="preserve">Opioid Combinations</t>
  </si>
  <si>
    <t xml:space="preserve">cb24ec84-3aa5-4d35-ab65-6f7780af9c38</t>
  </si>
  <si>
    <t xml:space="preserve">PRD-MTHV7RAS127</t>
  </si>
  <si>
    <t xml:space="preserve">Pirox 20mg Capsule</t>
  </si>
  <si>
    <t xml:space="preserve">Piroxicam 20mg</t>
  </si>
  <si>
    <t xml:space="preserve">cca77f0b-7ea4-4cef-b5ce-deb33bbd5239</t>
  </si>
  <si>
    <t xml:space="preserve">PRD-MTHV3NOU79</t>
  </si>
  <si>
    <t xml:space="preserve">Plencoxib 200mg Capsule</t>
  </si>
  <si>
    <t xml:space="preserve">Akums Drugs &amp; Pharmnaceuticals Ltd.(India)</t>
  </si>
  <si>
    <t xml:space="preserve">Celecoxib 200mg</t>
  </si>
  <si>
    <t xml:space="preserve">a69ed513-b8f7-47f5-a787-dc808ce5047e</t>
  </si>
  <si>
    <t xml:space="preserve">PRD-MTHV24KG61</t>
  </si>
  <si>
    <t xml:space="preserve">Powergesic Mr Tablet</t>
  </si>
  <si>
    <t xml:space="preserve">Jenburkt Pharmaceuticals Ltd(India)</t>
  </si>
  <si>
    <t xml:space="preserve">Chlorzoxazone 500mg+Diclofenac 50mg+Paracetamol 500mg</t>
  </si>
  <si>
    <t xml:space="preserve">e904b36e-4bf3-42e0-b0c8-65b93063b119</t>
  </si>
  <si>
    <t xml:space="preserve">PRD-2126</t>
  </si>
  <si>
    <t xml:space="preserve">Prednifil 5mg Tablegt</t>
  </si>
  <si>
    <t xml:space="preserve">Prednisolone 5mg</t>
  </si>
  <si>
    <t xml:space="preserve">aa3092de-683f-4011-ab49-e7472e76ef65</t>
  </si>
  <si>
    <t xml:space="preserve">PRD-9034</t>
  </si>
  <si>
    <t xml:space="preserve">Rufen 200mg Tablet</t>
  </si>
  <si>
    <t xml:space="preserve">Ibuprofen 200mg</t>
  </si>
  <si>
    <t xml:space="preserve">4ef4748e-acd2-468b-88a8-a62063ed2351</t>
  </si>
  <si>
    <t xml:space="preserve">PRD-MTHVNBFI315</t>
  </si>
  <si>
    <t xml:space="preserve">Sanexon 500mg Powder For Injection</t>
  </si>
  <si>
    <t xml:space="preserve">Methylprednisolone Sodium Succinate 500mg</t>
  </si>
  <si>
    <t xml:space="preserve">ea5259b3-4d25-42f7-9f81-5e61a18d7a3e</t>
  </si>
  <si>
    <t xml:space="preserve">PRD-MTHVLX2P299</t>
  </si>
  <si>
    <t xml:space="preserve">Sanmol 100mg/100ml 1000ml Infusion</t>
  </si>
  <si>
    <t xml:space="preserve">Paracetamol infusion = prescription; Out of stock</t>
  </si>
  <si>
    <t xml:space="preserve">dbb6f2bc-2211-4c3e-bb1f-8f38b26c6292</t>
  </si>
  <si>
    <t xml:space="preserve">PRD-MTHVP3WF333</t>
  </si>
  <si>
    <t xml:space="preserve">Strom 50mg/Ml 2ml Injection</t>
  </si>
  <si>
    <t xml:space="preserve">Lincoln Pharmaceuticals Ltd(India)</t>
  </si>
  <si>
    <t xml:space="preserve">Tramadol 100mg/2ml Injection</t>
  </si>
  <si>
    <t xml:space="preserve">Opioids</t>
  </si>
  <si>
    <t xml:space="preserve">20ca778d-7cd6-4e99-9c30-069b4a5d1112</t>
  </si>
  <si>
    <t xml:space="preserve">PRD-MTHVQOBW351</t>
  </si>
  <si>
    <t xml:space="preserve">Tamoltra 362.5mg Tablet</t>
  </si>
  <si>
    <t xml:space="preserve">Pharma Dynamics(Pty) Ltd(South Africa)</t>
  </si>
  <si>
    <t xml:space="preserve">Tramadol 37.5mg+Paracetamol 325mg</t>
  </si>
  <si>
    <t xml:space="preserve">9f62b755-87b1-42af-82cf-0f5984d0b704</t>
  </si>
  <si>
    <t xml:space="preserve">PRD-MUXVMOLE</t>
  </si>
  <si>
    <t xml:space="preserve">Topiramate 50mg 50mg Cadilla Uk</t>
  </si>
  <si>
    <t xml:space="preserve">Cadila Pharmaceuticals Ltd(India)</t>
  </si>
  <si>
    <t xml:space="preserve">Topiramate 50mg</t>
  </si>
  <si>
    <t xml:space="preserve">Migraine Therapy</t>
  </si>
  <si>
    <t xml:space="preserve">c4ad0694-3673-4f6d-a495-4cf9fa05667d</t>
  </si>
  <si>
    <t xml:space="preserve">PRD-MTHV327R72</t>
  </si>
  <si>
    <t xml:space="preserve">Tradmin 50mg Capsule</t>
  </si>
  <si>
    <t xml:space="preserve">Unosource Pharma Ltd.(India)</t>
  </si>
  <si>
    <t xml:space="preserve">Tramadol 50mg</t>
  </si>
  <si>
    <t xml:space="preserve">79167487-558c-444f-8c87-f2c0892e3f82</t>
  </si>
  <si>
    <t xml:space="preserve">PRD-2175</t>
  </si>
  <si>
    <t xml:space="preserve">Tricort 40mg/ml 1ml Injection</t>
  </si>
  <si>
    <t xml:space="preserve">Triamcinolone 40mg</t>
  </si>
  <si>
    <t xml:space="preserve">1cf14524-ceba-411c-89b2-114960bfb3d0</t>
  </si>
  <si>
    <t xml:space="preserve">PRD-MTHV9SYI152</t>
  </si>
  <si>
    <t xml:space="preserve">Valus Ap Tablet</t>
  </si>
  <si>
    <t xml:space="preserve">Glenmark Pharmaceuticals Ltd.(India)</t>
  </si>
  <si>
    <t xml:space="preserve">4549f4ee-c8e1-45b6-8ef7-3e144c7bbd87</t>
  </si>
  <si>
    <t xml:space="preserve">PRD-3222</t>
  </si>
  <si>
    <t xml:space="preserve">Vasograin 1/100/250/2.5mg Tablet</t>
  </si>
  <si>
    <t xml:space="preserve">Ergotamine 1mg+caffiene 100mg+paracetamol 250mg+prochlor[erazine 2.5mg</t>
  </si>
  <si>
    <t xml:space="preserve">96a1e5e1-7a51-4cbe-8bb7-357fc2e01749</t>
  </si>
  <si>
    <t xml:space="preserve">PRD-MTHV3C2G75</t>
  </si>
  <si>
    <t xml:space="preserve">Vovenil 25mg/Ml 3ml Injection</t>
  </si>
  <si>
    <t xml:space="preserve">Diclofenac 75mg/3ml</t>
  </si>
  <si>
    <t xml:space="preserve">NSAIDs - Injectable</t>
  </si>
  <si>
    <t xml:space="preserve">9f021ac2-4ee3-4d5c-889f-baad8e20012a</t>
  </si>
  <si>
    <t xml:space="preserve">PRD-MTHVPCNF336</t>
  </si>
  <si>
    <t xml:space="preserve">Acinet 1gm Tablets</t>
  </si>
  <si>
    <t xml:space="preserve">Cachet Pharmaceuticals Pvt. Ltd.</t>
  </si>
  <si>
    <t xml:space="preserve">Amoxycillin 875mg+Clavulanic Acid 125mg</t>
  </si>
  <si>
    <t xml:space="preserve">Antibiotics &amp; Antimicrobials(Oral Solid)</t>
  </si>
  <si>
    <t xml:space="preserve">Penicillin + Beta-Lactamase Inhibitor</t>
  </si>
  <si>
    <t xml:space="preserve">antibiotics</t>
  </si>
  <si>
    <t xml:space="preserve">dc0a2ecb-879e-4b31-b0a5-21d5a4ea01ea</t>
  </si>
  <si>
    <t xml:space="preserve">PRD-MTHVP9PK335</t>
  </si>
  <si>
    <t xml:space="preserve">Agycin 500mg Tablet</t>
  </si>
  <si>
    <t xml:space="preserve">Bliss Gvs Pharma Ltd.(India)</t>
  </si>
  <si>
    <t xml:space="preserve">Azithromycine 500mg</t>
  </si>
  <si>
    <t xml:space="preserve">Macrolides</t>
  </si>
  <si>
    <t xml:space="preserve">7e9658d2-2b8b-48f5-a543-52829b3e9b75</t>
  </si>
  <si>
    <t xml:space="preserve">PRD-MTHV5QZP104</t>
  </si>
  <si>
    <t xml:space="preserve">Alclox 250mg Capsule</t>
  </si>
  <si>
    <t xml:space="preserve">Cloxacillin 250mg</t>
  </si>
  <si>
    <t xml:space="preserve">Penicillins</t>
  </si>
  <si>
    <t xml:space="preserve">4efb979f-9f9b-419f-8aee-cc504ce052c4</t>
  </si>
  <si>
    <t xml:space="preserve">PRD-MTHUYYRX29</t>
  </si>
  <si>
    <t xml:space="preserve">Ampiclo-Dawa 250mg/5ml Powder For Oral Suspension 100ml</t>
  </si>
  <si>
    <t xml:space="preserve">Ampoicillin 125mg+Cloxacillin 125mg</t>
  </si>
  <si>
    <t xml:space="preserve">Antibiotics &amp; Antimicrobials(Oral Liquid)</t>
  </si>
  <si>
    <t xml:space="preserve">c7b93f27-6a5f-4812-bd15-07dddc3e2171</t>
  </si>
  <si>
    <t xml:space="preserve">PRD-MTHV1EZI53</t>
  </si>
  <si>
    <t xml:space="preserve">Amyn 250mg Capsule</t>
  </si>
  <si>
    <t xml:space="preserve">Amoxycillin 250mg</t>
  </si>
  <si>
    <t xml:space="preserve">6be4b7e7-e635-45e8-a336-ac7a1bfffc62</t>
  </si>
  <si>
    <t xml:space="preserve">PRD-MUXVP5UK</t>
  </si>
  <si>
    <t xml:space="preserve">Augmentin 1gm BD Capsule</t>
  </si>
  <si>
    <t xml:space="preserve">Glaxo Smith Klinle</t>
  </si>
  <si>
    <t xml:space="preserve">f0c8edbb-eed5-46b7-b831-622d54327471</t>
  </si>
  <si>
    <t xml:space="preserve">PRD-6457</t>
  </si>
  <si>
    <t xml:space="preserve">Auroxetil 500mg Tablet</t>
  </si>
  <si>
    <t xml:space="preserve">CEFUROXIME 500MG</t>
  </si>
  <si>
    <t xml:space="preserve">Cephalosporins</t>
  </si>
  <si>
    <t xml:space="preserve">16d9112f-ae4b-4c92-8a60-f6640afcfe77</t>
  </si>
  <si>
    <t xml:space="preserve">PRD-MTHV2MW167</t>
  </si>
  <si>
    <t xml:space="preserve">Az-1 500mg Tablet</t>
  </si>
  <si>
    <t xml:space="preserve">ab443a96-2d56-434b-ab06-ac49b0d040d1</t>
  </si>
  <si>
    <t xml:space="preserve">PRD-MTHV7985121</t>
  </si>
  <si>
    <t xml:space="preserve">Azileb 200mg/5ml 15ml Oral Suspension</t>
  </si>
  <si>
    <t xml:space="preserve">Azithromycine 200mg/5ml</t>
  </si>
  <si>
    <t xml:space="preserve">8979e414-df1e-4ad9-99b8-a97e9409b09e</t>
  </si>
  <si>
    <t xml:space="preserve">PRD-MTHV76GG120</t>
  </si>
  <si>
    <t xml:space="preserve">Cebay 100mg/5ml Powder For Oral Suspension 60ml</t>
  </si>
  <si>
    <t xml:space="preserve">Cefixime 100mg/5ml</t>
  </si>
  <si>
    <t xml:space="preserve">0f1c0e9d-d5ff-4ddc-8fbb-279d039525b5</t>
  </si>
  <si>
    <t xml:space="preserve">PRD-MTHVP6RD334</t>
  </si>
  <si>
    <t xml:space="preserve">Cefamor 125mg/5ml Powder For Oral Suspension 100ml</t>
  </si>
  <si>
    <t xml:space="preserve">Cefalexin 125mg/5ml 100ml</t>
  </si>
  <si>
    <t xml:space="preserve">d6340b04-4b59-4f15-a81b-3ab114a1753c</t>
  </si>
  <si>
    <t xml:space="preserve">PRD-MTHV4WMH94</t>
  </si>
  <si>
    <t xml:space="preserve">Cefiwell 200mg Dt Tablet</t>
  </si>
  <si>
    <t xml:space="preserve">Cefixime 200mg</t>
  </si>
  <si>
    <t xml:space="preserve">091ec7ad-cbee-4809-a5e1-f777063ac9ab</t>
  </si>
  <si>
    <t xml:space="preserve">PRD-MTHV04MO41</t>
  </si>
  <si>
    <t xml:space="preserve">Cefotaxim 1gm Powder For Injection Vial</t>
  </si>
  <si>
    <t xml:space="preserve">Ncpc International Corp.(China)</t>
  </si>
  <si>
    <t xml:space="preserve">Cefotaxim 1gm</t>
  </si>
  <si>
    <t xml:space="preserve">Antibiotics &amp; Antimicrobials(Injectable)</t>
  </si>
  <si>
    <t xml:space="preserve">3abc922a-7bee-4b1d-88a0-54407e9317e3</t>
  </si>
  <si>
    <t xml:space="preserve">PRD-MTHV3GW377</t>
  </si>
  <si>
    <t xml:space="preserve">Ceftriasone S 1.5gm Powder For Injection Vial</t>
  </si>
  <si>
    <t xml:space="preserve">Ceftriaxone 1gm + Sulbactam 500mg</t>
  </si>
  <si>
    <t xml:space="preserve">Cephalosporin + Beta-Lactamase Inhibitor</t>
  </si>
  <si>
    <t xml:space="preserve">c6700b9d-9242-442f-a2c6-9360396709a2</t>
  </si>
  <si>
    <t xml:space="preserve">PRD-MTHV65KS109</t>
  </si>
  <si>
    <t xml:space="preserve">Ceftriaxone 1gm Powder For Injection Vial</t>
  </si>
  <si>
    <t xml:space="preserve">Ceftriaxone 1gm</t>
  </si>
  <si>
    <t xml:space="preserve">81487c47-3de3-4475-999c-a729929e27af</t>
  </si>
  <si>
    <t xml:space="preserve">PRD-MTHV8VZX141</t>
  </si>
  <si>
    <t xml:space="preserve">Cifran Ct 900mg Tablet</t>
  </si>
  <si>
    <t xml:space="preserve">Ciprofloxacin 500mg+Tinidazole 400mg</t>
  </si>
  <si>
    <t xml:space="preserve">Fluoroquinolone Combinations</t>
  </si>
  <si>
    <t xml:space="preserve">61b4a257-556f-42b1-86f5-ff6266775f8d</t>
  </si>
  <si>
    <t xml:space="preserve">PRD-5774</t>
  </si>
  <si>
    <t xml:space="preserve">Ciromicin 0.3% W/v Eye Drop</t>
  </si>
  <si>
    <t xml:space="preserve">Gentamycine 0.3% W/V</t>
  </si>
  <si>
    <t xml:space="preserve">Antibiotics &amp; Antimicrobials(Topical)</t>
  </si>
  <si>
    <t xml:space="preserve">Topical Antibiotics</t>
  </si>
  <si>
    <t xml:space="preserve">2355c71a-2e93-4342-8c80-42b1164748c6</t>
  </si>
  <si>
    <t xml:space="preserve">PRD-7594</t>
  </si>
  <si>
    <t xml:space="preserve">Cital 100ml Syrup</t>
  </si>
  <si>
    <t xml:space="preserve">Disodium Hydrogen Citrate 1.37gm/5ml</t>
  </si>
  <si>
    <t xml:space="preserve">Miscellaneous</t>
  </si>
  <si>
    <t xml:space="preserve">3f67d644-5a6d-4997-948b-7fde197ed3bd</t>
  </si>
  <si>
    <t xml:space="preserve">PRD-MTHV0N2C45</t>
  </si>
  <si>
    <t xml:space="preserve">Clair 500mg Tablet</t>
  </si>
  <si>
    <t xml:space="preserve">Elder Project Limited</t>
  </si>
  <si>
    <t xml:space="preserve">Clarithromycine 500mg</t>
  </si>
  <si>
    <t xml:space="preserve">e6841c2a-7f95-4c26-b4f0-09e90a0dd676</t>
  </si>
  <si>
    <t xml:space="preserve">PRD-8183</t>
  </si>
  <si>
    <t xml:space="preserve">Cloxin 250mg Capsule</t>
  </si>
  <si>
    <t xml:space="preserve">d9e124b8-2a77-400e-9ac9-1af36f49a10e</t>
  </si>
  <si>
    <t xml:space="preserve">PRD-MTHUXCVC12</t>
  </si>
  <si>
    <t xml:space="preserve">Cloxin-Ds 125mg/5ml Powder For Oral Suspension</t>
  </si>
  <si>
    <t xml:space="preserve">Flamingo Pharmaceuticals Ltd.(India)</t>
  </si>
  <si>
    <t xml:space="preserve">Cloxacillin 125mg/5ml</t>
  </si>
  <si>
    <t xml:space="preserve">a4b91242-73eb-4acc-b17c-bc4406717c86</t>
  </si>
  <si>
    <t xml:space="preserve">PRD-MTHV7X2K129</t>
  </si>
  <si>
    <t xml:space="preserve">Co-Trimaxazole 480mg Tablet</t>
  </si>
  <si>
    <t xml:space="preserve">Co-Trimaxazole 480mg</t>
  </si>
  <si>
    <t xml:space="preserve">Sulfonamides</t>
  </si>
  <si>
    <t xml:space="preserve">ee735cbf-6b3a-4a7a-bc9a-1f83868d1533</t>
  </si>
  <si>
    <t xml:space="preserve">PRD-MTHV5TYC105</t>
  </si>
  <si>
    <t xml:space="preserve">Doxylab 100mg Caspule</t>
  </si>
  <si>
    <t xml:space="preserve">Doxycycline 100mg</t>
  </si>
  <si>
    <t xml:space="preserve">Tetracyclines</t>
  </si>
  <si>
    <t xml:space="preserve">590bf259-e3be-4e2e-9f94-fcf4c4be57fa</t>
  </si>
  <si>
    <t xml:space="preserve">PRD-MTHV9YX0154</t>
  </si>
  <si>
    <t xml:space="preserve">Enhancin 1gm Tablet</t>
  </si>
  <si>
    <t xml:space="preserve">ede4035e-6861-44aa-8647-e8010933ab40</t>
  </si>
  <si>
    <t xml:space="preserve">PRD-MTHUX9M711</t>
  </si>
  <si>
    <t xml:space="preserve">Erycin 125mg/5ml Powder For Oral Suspension</t>
  </si>
  <si>
    <t xml:space="preserve">Erythromycine 125mg/5ml</t>
  </si>
  <si>
    <t xml:space="preserve">3222a36b-181d-4f92-a5b0-1a99c0943e83</t>
  </si>
  <si>
    <t xml:space="preserve">PRD-MTHV0Q2746</t>
  </si>
  <si>
    <t xml:space="preserve">Erymin 250mg Tablet</t>
  </si>
  <si>
    <t xml:space="preserve">Erythromycine 250mg</t>
  </si>
  <si>
    <t xml:space="preserve">55e4ed14-2924-40a1-8428-00704a826d48</t>
  </si>
  <si>
    <t xml:space="preserve">PRD-MTHV62US108</t>
  </si>
  <si>
    <t xml:space="preserve">Gentamicin 40mg/Ml 2ml Ampoule For Injection</t>
  </si>
  <si>
    <t xml:space="preserve">Csps Ouyi Pharmaceutical Co. Ltd.(China)</t>
  </si>
  <si>
    <t xml:space="preserve">Gentamycine 80mg/2ml</t>
  </si>
  <si>
    <t xml:space="preserve">Aminoglycosides</t>
  </si>
  <si>
    <t xml:space="preserve">c0260d3d-b2ac-40ab-8446-de67f02a2a14</t>
  </si>
  <si>
    <t xml:space="preserve">PRD-MTHVESFQ212</t>
  </si>
  <si>
    <t xml:space="preserve">Gramocef-O 100mg/5ml Powder For Oral Suspension 100ml</t>
  </si>
  <si>
    <t xml:space="preserve">Micro Labs Limited(India)</t>
  </si>
  <si>
    <t xml:space="preserve">f2de9d33-18f9-4c5c-bc17-ecba4e1b21b9</t>
  </si>
  <si>
    <t xml:space="preserve">PRD-MTHV0TSU47</t>
  </si>
  <si>
    <t xml:space="preserve">Imicil 1gm Powder For Injection Vial</t>
  </si>
  <si>
    <t xml:space="preserve">Swiss Parenterals Ltd.(India)</t>
  </si>
  <si>
    <t xml:space="preserve">Imipenem 500mg+Cilastatin 500mg</t>
  </si>
  <si>
    <t xml:space="preserve">Carbapenems</t>
  </si>
  <si>
    <t xml:space="preserve">e1dbd83e-2c43-45c1-9df5-4dc08efefa40</t>
  </si>
  <si>
    <t xml:space="preserve">PRD-MTHUXFVJ13</t>
  </si>
  <si>
    <t xml:space="preserve">Kamox 125mg/5ml Powder For Oral Suspension 100ml</t>
  </si>
  <si>
    <t xml:space="preserve">Amoxicillin 125mg/5ml</t>
  </si>
  <si>
    <t xml:space="preserve">14cf6ca0-23f5-4de8-99c3-e02c8c2ee909</t>
  </si>
  <si>
    <t xml:space="preserve">PRD-MTHV6S9E116</t>
  </si>
  <si>
    <t xml:space="preserve">Kantibac 100mg Tablet</t>
  </si>
  <si>
    <t xml:space="preserve">Kamal International(India)</t>
  </si>
  <si>
    <t xml:space="preserve">Nitrofurontoin 100mg</t>
  </si>
  <si>
    <t xml:space="preserve">Urinary Antiseptics</t>
  </si>
  <si>
    <t xml:space="preserve">93610697-5b79-4c16-a0a7-a25a5c3a0a64</t>
  </si>
  <si>
    <t xml:space="preserve">PRD-MTHVO8KG325</t>
  </si>
  <si>
    <t xml:space="preserve">Kefodime 200mg Tablet</t>
  </si>
  <si>
    <t xml:space="preserve">Cefpodoxime 200mg</t>
  </si>
  <si>
    <t xml:space="preserve">a4dca19d-1a87-4a8e-ada0-401f6c72d088</t>
  </si>
  <si>
    <t xml:space="preserve">PRD-MTHVMSC7309</t>
  </si>
  <si>
    <t xml:space="preserve">Koact 625mg Tablet</t>
  </si>
  <si>
    <t xml:space="preserve">Amoxycillin 500mg+Clavulanic Acid 125mg</t>
  </si>
  <si>
    <t xml:space="preserve">fde977cd-1202-4600-b907-23a74b93f0d9</t>
  </si>
  <si>
    <t xml:space="preserve">PRD-MTHV1BTO52</t>
  </si>
  <si>
    <t xml:space="preserve">Koflex 500mg Capsule</t>
  </si>
  <si>
    <t xml:space="preserve">Cefalexin 500mg</t>
  </si>
  <si>
    <t xml:space="preserve">9f767ca2-884f-4550-906b-a9d7170c1bf6</t>
  </si>
  <si>
    <t xml:space="preserve">PRD-MUXWVOX5</t>
  </si>
  <si>
    <t xml:space="preserve">Lyforan 1gm Injection</t>
  </si>
  <si>
    <t xml:space="preserve">4a90a164-158e-4b79-aa8e-8d0d1cdb7a8d</t>
  </si>
  <si>
    <t xml:space="preserve">PRD-8081</t>
  </si>
  <si>
    <t xml:space="preserve">M-pem 1gm Injection</t>
  </si>
  <si>
    <t xml:space="preserve">Zyrex Healthcare Pvt. Ltd.</t>
  </si>
  <si>
    <t xml:space="preserve">Meropenem 1gm</t>
  </si>
  <si>
    <t xml:space="preserve">a74c1ebd-15f3-44c4-912c-b6a7b46195ea</t>
  </si>
  <si>
    <t xml:space="preserve">PRD-MTHVM093300</t>
  </si>
  <si>
    <t xml:space="preserve">Merosan 1gm Powder For Injection Vial</t>
  </si>
  <si>
    <t xml:space="preserve">863f3712-54fa-4820-9712-1346e2be81d6</t>
  </si>
  <si>
    <t xml:space="preserve">PRD-0785</t>
  </si>
  <si>
    <t xml:space="preserve">Moxacil 250mg Capsule</t>
  </si>
  <si>
    <t xml:space="preserve">74d17c09-1188-4bc5-a3bd-60d67f63dcbc</t>
  </si>
  <si>
    <t xml:space="preserve">PRD-5691</t>
  </si>
  <si>
    <t xml:space="preserve">Moxileb 125mg/5ml Dry syrup</t>
  </si>
  <si>
    <t xml:space="preserve">40049e18-3d99-4d5f-a49a-f5ea2d2fea8b</t>
  </si>
  <si>
    <t xml:space="preserve">PRD-7242</t>
  </si>
  <si>
    <t xml:space="preserve">Mupifen 2%W/W 5gm Ointment</t>
  </si>
  <si>
    <t xml:space="preserve">Mupirocin 2% W/W</t>
  </si>
  <si>
    <t xml:space="preserve">4dd70d57-e644-4daf-9b2c-f94c9c44e3e3</t>
  </si>
  <si>
    <t xml:space="preserve">PRD-MTHUW9221</t>
  </si>
  <si>
    <t xml:space="preserve">Onecef Sb 1.5gm Powder For Injection Vial</t>
  </si>
  <si>
    <t xml:space="preserve">Kilitch Drugs(India) Ltd.</t>
  </si>
  <si>
    <t xml:space="preserve">d7be21af-e5c0-45a5-b2e2-5215795a5fb2</t>
  </si>
  <si>
    <t xml:space="preserve">PRD-MTHUYSH727</t>
  </si>
  <si>
    <t xml:space="preserve">Oracef 250mg Capsule</t>
  </si>
  <si>
    <t xml:space="preserve">Cefalexin 250mg</t>
  </si>
  <si>
    <t xml:space="preserve">bb55ab6a-568c-4965-9cc4-163303fb48bc</t>
  </si>
  <si>
    <t xml:space="preserve">PRD-7531</t>
  </si>
  <si>
    <t xml:space="preserve">Oto 4 5ml Eye Drop</t>
  </si>
  <si>
    <t xml:space="preserve">Chloramphenicol 5%W/V+Beclomethasone 0.025%W/V+Clotrimazole 1%W/V+Lidocaine 2% W/V</t>
  </si>
  <si>
    <t xml:space="preserve">Antifungals(Topical)</t>
  </si>
  <si>
    <t xml:space="preserve">Ear Drops</t>
  </si>
  <si>
    <t xml:space="preserve">Antibiotic/steroid ear-eye combination</t>
  </si>
  <si>
    <t xml:space="preserve">64438d5b-ef41-47d2-9eba-24387ba5d42d</t>
  </si>
  <si>
    <t xml:space="preserve">PRD-MTHV7C7B122</t>
  </si>
  <si>
    <t xml:space="preserve">Pen-V 125mg/5ml 100ml Powder For Oral Suspension</t>
  </si>
  <si>
    <t xml:space="preserve">Milan Laboratories(India) Pvt. Ltd.</t>
  </si>
  <si>
    <t xml:space="preserve">Phenoxymethylpenicillin 125mg</t>
  </si>
  <si>
    <t xml:space="preserve">b694f392-769d-44e2-bf6a-730b9991f22e</t>
  </si>
  <si>
    <t xml:space="preserve">PRD-8371</t>
  </si>
  <si>
    <t xml:space="preserve">Phenoxymethylpenicillin 250mg Tablet(Shalina)</t>
  </si>
  <si>
    <t xml:space="preserve">Shalina Healthcare DMCC</t>
  </si>
  <si>
    <t xml:space="preserve">Phenoxymethylpenicillin 250mg</t>
  </si>
  <si>
    <t xml:space="preserve">9f7912cd-271c-4598-bbf8-1edd8467c24f</t>
  </si>
  <si>
    <t xml:space="preserve">PRD-MTHV68SH110</t>
  </si>
  <si>
    <t xml:space="preserve">Procaine Benzyl Penicillin 3gm(3miu) Powder Foe Injection Vial</t>
  </si>
  <si>
    <t xml:space="preserve">Karnataka Antibiotics &amp; Pharmaceuticals Limited(India)</t>
  </si>
  <si>
    <t xml:space="preserve">Procaine Benzyl Penicillin 3gm</t>
  </si>
  <si>
    <t xml:space="preserve">eafa6211-9a08-4e7a-ace5-948c669ab7fb</t>
  </si>
  <si>
    <t xml:space="preserve">PRD-MTHV7U2Y128</t>
  </si>
  <si>
    <t xml:space="preserve">Q-Bact 500mg Tablet</t>
  </si>
  <si>
    <t xml:space="preserve">Ciprofloxacin 500mg</t>
  </si>
  <si>
    <t xml:space="preserve">Fluoroquinolones</t>
  </si>
  <si>
    <t xml:space="preserve">39cdb357-5289-496d-9eee-c42e5202fea9</t>
  </si>
  <si>
    <t xml:space="preserve">PRD-MUXWSUSX</t>
  </si>
  <si>
    <t xml:space="preserve">Ronem 500mg Injection</t>
  </si>
  <si>
    <t xml:space="preserve">Venus Remedies Limited(India)</t>
  </si>
  <si>
    <t xml:space="preserve">Meropenem 0.5gm</t>
  </si>
  <si>
    <t xml:space="preserve">01af811f-682b-4615-a47b-af83647a73a8</t>
  </si>
  <si>
    <t xml:space="preserve">PRD-MTHV506095</t>
  </si>
  <si>
    <t xml:space="preserve">Safelevo 500mg Tablet</t>
  </si>
  <si>
    <t xml:space="preserve">Levofloxacine 500mg</t>
  </si>
  <si>
    <t xml:space="preserve">b6d03fca-072b-40d2-bde0-1605aabbdf56</t>
  </si>
  <si>
    <t xml:space="preserve">PRD-MTHV8N3Y138</t>
  </si>
  <si>
    <t xml:space="preserve">Scotxone 1gm Injection</t>
  </si>
  <si>
    <t xml:space="preserve">a0567201-1a20-4234-876a-07b9f6276096</t>
  </si>
  <si>
    <t xml:space="preserve">PRD-MTHUX1PI9</t>
  </si>
  <si>
    <t xml:space="preserve">Sefimax 1gm Powder For Injection Vial</t>
  </si>
  <si>
    <t xml:space="preserve">Cefepime 1gm</t>
  </si>
  <si>
    <t xml:space="preserve">f990b85d-abe6-49a5-b061-bca318b7ddbe</t>
  </si>
  <si>
    <t xml:space="preserve">PRD-MTHVAD69158</t>
  </si>
  <si>
    <t xml:space="preserve">Sulbacin 375mg Tablet</t>
  </si>
  <si>
    <t xml:space="preserve">Sultamicillin 375mg</t>
  </si>
  <si>
    <t xml:space="preserve">086a83d6-1b67-4d8e-afcc-14ce459e86ca</t>
  </si>
  <si>
    <t xml:space="preserve">PRD-1205</t>
  </si>
  <si>
    <t xml:space="preserve">Tinifil 500mg Tablet</t>
  </si>
  <si>
    <t xml:space="preserve">Tinidazole 500mg</t>
  </si>
  <si>
    <t xml:space="preserve">8e7e57a0-e757-411f-8497-bec849f46102</t>
  </si>
  <si>
    <t xml:space="preserve">PRD-MTHVFM22221</t>
  </si>
  <si>
    <t xml:space="preserve">Umeclav 228mg/5ml Powder For Oral Suspension 100ml</t>
  </si>
  <si>
    <t xml:space="preserve">Amoxyclav 228.5mg/5ml</t>
  </si>
  <si>
    <t xml:space="preserve">88c81a73-b6b7-4d44-bfdf-b8d3c28ab53f</t>
  </si>
  <si>
    <t xml:space="preserve">PRD-MTHVO1ZI323</t>
  </si>
  <si>
    <t xml:space="preserve">Vanconex-Cp 1gm Powder For Injection Vial</t>
  </si>
  <si>
    <t xml:space="preserve">Vancomycine 1gm</t>
  </si>
  <si>
    <t xml:space="preserve">Glycopeptides</t>
  </si>
  <si>
    <t xml:space="preserve">57a36f14-7ca5-40a0-8d75-b8a85bf4eabf</t>
  </si>
  <si>
    <t xml:space="preserve">PRD-MTHVBT1B176</t>
  </si>
  <si>
    <t xml:space="preserve">Vantax Gp 1gm Injection</t>
  </si>
  <si>
    <t xml:space="preserve">Samarth Laboratories Limited</t>
  </si>
  <si>
    <t xml:space="preserve">fc26a6dd-b2dc-4d7e-bdbc-036d4a59298d</t>
  </si>
  <si>
    <t xml:space="preserve">PRD-6998</t>
  </si>
  <si>
    <t xml:space="preserve">candifac-100mg capsule</t>
  </si>
  <si>
    <t xml:space="preserve">Healing Pharma India</t>
  </si>
  <si>
    <t xml:space="preserve">itraconazole 100mg</t>
  </si>
  <si>
    <t xml:space="preserve">caps</t>
  </si>
  <si>
    <t xml:space="preserve">Anti-Fungal</t>
  </si>
  <si>
    <t xml:space="preserve">antifungals</t>
  </si>
  <si>
    <t xml:space="preserve">4e65f668-5c60-4579-9470-c43a501b4990</t>
  </si>
  <si>
    <t xml:space="preserve">PRD-9092</t>
  </si>
  <si>
    <t xml:space="preserve">Clotine 100mg Passeries</t>
  </si>
  <si>
    <t xml:space="preserve">CLOTRIMAZOLE 100MG</t>
  </si>
  <si>
    <t xml:space="preserve">VAGINAL PASSERIES</t>
  </si>
  <si>
    <t xml:space="preserve">Topical Antifungals</t>
  </si>
  <si>
    <t xml:space="preserve">Check: simple clotrimazole creams could be OTC</t>
  </si>
  <si>
    <t xml:space="preserve">a90f3c1e-9eee-47a1-b601-59b433af0178</t>
  </si>
  <si>
    <t xml:space="preserve">PRD-MTHVQ1BO344</t>
  </si>
  <si>
    <t xml:space="preserve">Clotrine 1% W/W 20gm Cream</t>
  </si>
  <si>
    <t xml:space="preserve">Clotrimazole 1% W/W</t>
  </si>
  <si>
    <t xml:space="preserve">d2b3da18-e891-4a46-926d-612d2e205bcf</t>
  </si>
  <si>
    <t xml:space="preserve">PRD-5830</t>
  </si>
  <si>
    <t xml:space="preserve">Flucreme Nm 10gm Cream</t>
  </si>
  <si>
    <t xml:space="preserve">Concept Pharmaceuticals Ltd.</t>
  </si>
  <si>
    <t xml:space="preserve">Flucinolone 0.025% W/w+neomycine 0.5%+miconazole 2.0%</t>
  </si>
  <si>
    <t xml:space="preserve">c3628cf9-7769-443e-89b3-7a1b7727a2cd</t>
  </si>
  <si>
    <t xml:space="preserve">PRD-MTHV6KM9114</t>
  </si>
  <si>
    <t xml:space="preserve">Griseben 125mg Tablet</t>
  </si>
  <si>
    <t xml:space="preserve">Griseofulvin 125mg</t>
  </si>
  <si>
    <t xml:space="preserve">Antifungals(Oral Solid)</t>
  </si>
  <si>
    <t xml:space="preserve">Systemic/Oral Antifungals</t>
  </si>
  <si>
    <t xml:space="preserve">a7afdc9c-437c-4a09-9ac0-ec7165b73f98</t>
  </si>
  <si>
    <t xml:space="preserve">PRD-MTHV7FEH123</t>
  </si>
  <si>
    <t xml:space="preserve">Nystaleb 100,000iu/Ml 30ml Oral Suspension</t>
  </si>
  <si>
    <t xml:space="preserve">Nystatin 100000iu/Ml</t>
  </si>
  <si>
    <t xml:space="preserve">Antifungals(Oral Liquid)</t>
  </si>
  <si>
    <t xml:space="preserve">b07136d6-138f-46c7-8b90-2fbf2856e785</t>
  </si>
  <si>
    <t xml:space="preserve">PRD-MTHUX5GP10</t>
  </si>
  <si>
    <t xml:space="preserve">Abagyl 0.5%W/V 100ml Infusion</t>
  </si>
  <si>
    <t xml:space="preserve">Metronidazole 0.5gm/100ml</t>
  </si>
  <si>
    <t xml:space="preserve">Antiprotozoals</t>
  </si>
  <si>
    <t xml:space="preserve">antiparasitics_and_antimalarials</t>
  </si>
  <si>
    <t xml:space="preserve">bf87d7ca-c272-45ed-9337-9dcae6fe506c</t>
  </si>
  <si>
    <t xml:space="preserve">PRD-MTHVNW8B321</t>
  </si>
  <si>
    <t xml:space="preserve">Almex 200mg/5ml 10ml Oral Suspension</t>
  </si>
  <si>
    <t xml:space="preserve">Albendazole 200mg/5ml</t>
  </si>
  <si>
    <t xml:space="preserve">Antiparasitics &amp; Antihelmintics(Oral Liquid)</t>
  </si>
  <si>
    <t xml:space="preserve">Antihelmintics</t>
  </si>
  <si>
    <t xml:space="preserve">f6e397d6-4c8c-4927-abfa-af3848d3a319</t>
  </si>
  <si>
    <t xml:space="preserve">PRD-MTHV1I5T54</t>
  </si>
  <si>
    <t xml:space="preserve">Co-Arinate 725mg Tablet</t>
  </si>
  <si>
    <t xml:space="preserve">Dafra Pharma Gmbh(Switzerland)</t>
  </si>
  <si>
    <t xml:space="preserve">Artesunate 200mg+Sulfamethoxypyrazine 500mg+Pyrimethamine 25mg</t>
  </si>
  <si>
    <t xml:space="preserve">Antiparasitics &amp; Antihelmintics(Oral Solid)</t>
  </si>
  <si>
    <t xml:space="preserve">Antimalarials</t>
  </si>
  <si>
    <t xml:space="preserve">93fc2afa-cca4-47d8-9902-d84e211f44ee</t>
  </si>
  <si>
    <t xml:space="preserve">PRD-MTHV0AEB42</t>
  </si>
  <si>
    <t xml:space="preserve">Duomal 140mg Tablet</t>
  </si>
  <si>
    <t xml:space="preserve">Artemether 20mg+Lumefentrin 120mg</t>
  </si>
  <si>
    <t xml:space="preserve">3080aed4-14a0-4542-b793-d557c855c611</t>
  </si>
  <si>
    <t xml:space="preserve">PRD-MTHV8QA9139</t>
  </si>
  <si>
    <t xml:space="preserve">Falcinova 60mg Powder For Injection Vial With Wfi</t>
  </si>
  <si>
    <t xml:space="preserve">Artesunate 60mg</t>
  </si>
  <si>
    <t xml:space="preserve">Antiparasitics &amp; Antihelmintics(Injectable)</t>
  </si>
  <si>
    <t xml:space="preserve">6624c4ae-f692-42ed-91cd-5f2c7ecb1cc4</t>
  </si>
  <si>
    <t xml:space="preserve">PRD-MTHV27K162</t>
  </si>
  <si>
    <t xml:space="preserve">Fanlar 525mg Tablet</t>
  </si>
  <si>
    <t xml:space="preserve">Sulfadoxine 500mg+Pyrimethamine 25mg</t>
  </si>
  <si>
    <t xml:space="preserve">bb63d5d3-a742-4fc6-b9b1-c6bb9152a9fb</t>
  </si>
  <si>
    <t xml:space="preserve">PRD-MTHVPUPU342</t>
  </si>
  <si>
    <t xml:space="preserve">Lonart Ds 560mg Tablet</t>
  </si>
  <si>
    <t xml:space="preserve">Artemether 80mg+Lumefentrin 480mg</t>
  </si>
  <si>
    <t xml:space="preserve">d880011f-a040-4f53-815d-e9216c420d6f</t>
  </si>
  <si>
    <t xml:space="preserve">PRD-MTHV73GX119</t>
  </si>
  <si>
    <t xml:space="preserve">Metroleb 125/5ml 100ml Oral Suspension</t>
  </si>
  <si>
    <t xml:space="preserve">Metronidazole 125mg/5ml</t>
  </si>
  <si>
    <t xml:space="preserve">6d7316cb-1bdc-4f4e-819e-84c9b45ffd2c</t>
  </si>
  <si>
    <t xml:space="preserve">PRD-MTHV6NP4115</t>
  </si>
  <si>
    <t xml:space="preserve">Metroleb 200mg/5ml 100ml Syrup</t>
  </si>
  <si>
    <t xml:space="preserve">Metronidazole 200mg/5ml</t>
  </si>
  <si>
    <t xml:space="preserve">d10b50a3-c2b2-48d0-9e76-73668783bc5f</t>
  </si>
  <si>
    <t xml:space="preserve">PRD-MTHV0JOI44</t>
  </si>
  <si>
    <t xml:space="preserve">Metroz 200mg Tablet</t>
  </si>
  <si>
    <t xml:space="preserve">Metronidazole 200mg</t>
  </si>
  <si>
    <t xml:space="preserve">7d246e8b-38c5-4663-bef4-fc3513751527</t>
  </si>
  <si>
    <t xml:space="preserve">PRD-3977</t>
  </si>
  <si>
    <t xml:space="preserve">Nujbend 400mg Tablet</t>
  </si>
  <si>
    <t xml:space="preserve">KOPRAN LIMITED</t>
  </si>
  <si>
    <t xml:space="preserve">ALBENDAZOLE 400MG</t>
  </si>
  <si>
    <t xml:space="preserve">92ce4f35-6351-401f-bb6d-35f61d2fb127</t>
  </si>
  <si>
    <t xml:space="preserve">PRD-MTHUWIT94</t>
  </si>
  <si>
    <t xml:space="preserve">Praziquantel 600mg Tablet</t>
  </si>
  <si>
    <t xml:space="preserve">Bdh Industries Ltd(India).</t>
  </si>
  <si>
    <t xml:space="preserve">Praziquental 600mg</t>
  </si>
  <si>
    <t xml:space="preserve">65d82af9-b6f7-49e2-90b3-8445e2282094</t>
  </si>
  <si>
    <t xml:space="preserve">PRD-MTHV7ZKP130</t>
  </si>
  <si>
    <t xml:space="preserve">Pzq 600mg Tablet</t>
  </si>
  <si>
    <t xml:space="preserve">c2eec968-22bb-4cd1-96a4-9f58a11080da</t>
  </si>
  <si>
    <t xml:space="preserve">PRD-MTHVA96H157</t>
  </si>
  <si>
    <t xml:space="preserve">Tagera Forte Tablet</t>
  </si>
  <si>
    <t xml:space="preserve">Secnidazole 1gm</t>
  </si>
  <si>
    <t xml:space="preserve">39f62abc-622f-4f65-993d-89d8a9566e97</t>
  </si>
  <si>
    <t xml:space="preserve">PRD-MTHUZRF437</t>
  </si>
  <si>
    <t xml:space="preserve">Halyvir 200mg Tablet</t>
  </si>
  <si>
    <t xml:space="preserve">Halewood Laboratories Pvt. Ltd.(India)</t>
  </si>
  <si>
    <t xml:space="preserve">Aciclovir 200mg</t>
  </si>
  <si>
    <t xml:space="preserve">Antivirals(Oral Solid)</t>
  </si>
  <si>
    <t xml:space="preserve">Herpes Antivirals</t>
  </si>
  <si>
    <t xml:space="preserve">antivirals</t>
  </si>
  <si>
    <t xml:space="preserve">bf0e1ad1-0232-4abf-8b71-f434da01788f</t>
  </si>
  <si>
    <t xml:space="preserve">PRD-MTHUZUI438</t>
  </si>
  <si>
    <t xml:space="preserve">Halyvir 400mg Tablet</t>
  </si>
  <si>
    <t xml:space="preserve">Aciclovir 400mg</t>
  </si>
  <si>
    <t xml:space="preserve">60c6d983-57c3-421a-ae67-0171e82bfbed</t>
  </si>
  <si>
    <t xml:space="preserve">PRD-MTHVPRR1341</t>
  </si>
  <si>
    <t xml:space="preserve">Herpyzig 5%W/W 15gm Cream</t>
  </si>
  <si>
    <t xml:space="preserve">Acyclovir 5%W/W</t>
  </si>
  <si>
    <t xml:space="preserve">Antivirals(Topical)</t>
  </si>
  <si>
    <t xml:space="preserve">Topical Antivirals</t>
  </si>
  <si>
    <t xml:space="preserve">32a03461-8ee0-4d93-a90a-0d2ddbfeed3b</t>
  </si>
  <si>
    <t xml:space="preserve">PRD-MTHVDIVW197</t>
  </si>
  <si>
    <t xml:space="preserve">Valmac 500mg Tablet</t>
  </si>
  <si>
    <t xml:space="preserve">Macleods Pharmaceuticals Ltd(India)</t>
  </si>
  <si>
    <t xml:space="preserve">Valacyclovir 500mg</t>
  </si>
  <si>
    <t xml:space="preserve">8a7578e7-85c3-461e-81ec-7256f0a8f503</t>
  </si>
  <si>
    <t xml:space="preserve">PRD-MV3J9L41</t>
  </si>
  <si>
    <t xml:space="preserve">Valocon 450mg Tablet</t>
  </si>
  <si>
    <t xml:space="preserve">Concord Biotech Ltd.(INDIA)</t>
  </si>
  <si>
    <t xml:space="preserve">Valgancyclovir 450mg</t>
  </si>
  <si>
    <t xml:space="preserve">Antiviral (Non-HIV)(ORAL)</t>
  </si>
  <si>
    <t xml:space="preserve">Direct Acting Antivirals</t>
  </si>
  <si>
    <t xml:space="preserve">c4833a22-89d4-4044-ab56-3f2792bb6dac</t>
  </si>
  <si>
    <t xml:space="preserve">PRD-MTHUYDKO23</t>
  </si>
  <si>
    <t xml:space="preserve">Amcore 5mg Tablet</t>
  </si>
  <si>
    <t xml:space="preserve">Amlodipine 5mg</t>
  </si>
  <si>
    <t xml:space="preserve">Cardiovascular(Oral Solid)</t>
  </si>
  <si>
    <t xml:space="preserve">Antihypertensives - Calcium Channel Blockers</t>
  </si>
  <si>
    <t xml:space="preserve">cardiovascular</t>
  </si>
  <si>
    <t xml:space="preserve">164f4b54-0ada-4e82-a83c-e9e46b634353</t>
  </si>
  <si>
    <t xml:space="preserve">PRD-MTHVA48T156</t>
  </si>
  <si>
    <t xml:space="preserve">Amlodipine 5mg Tablet(Kaushik)</t>
  </si>
  <si>
    <t xml:space="preserve">Kaushikh Therapeutics (P) Ltd.(India)</t>
  </si>
  <si>
    <t xml:space="preserve">a5625358-ad64-4338-bed0-b4e0204e21ea</t>
  </si>
  <si>
    <t xml:space="preserve">PRD-MTHV6EEM112</t>
  </si>
  <si>
    <t xml:space="preserve">Antipres 50mg Tablet</t>
  </si>
  <si>
    <t xml:space="preserve">Atenolol 50mg</t>
  </si>
  <si>
    <t xml:space="preserve">Antihypertensives - Beta Blockers</t>
  </si>
  <si>
    <t xml:space="preserve">955c7659-ccd6-41a1-8dc8-56a17b2f2215</t>
  </si>
  <si>
    <t xml:space="preserve">PRD-MTHVEVF3213</t>
  </si>
  <si>
    <t xml:space="preserve">Arbitel 80mg Tablet</t>
  </si>
  <si>
    <t xml:space="preserve">Telmisartan 80mg</t>
  </si>
  <si>
    <t xml:space="preserve">Antihypertensives - ARBs</t>
  </si>
  <si>
    <t xml:space="preserve">79952ab4-1df3-46f7-8903-ecf2056e2d51</t>
  </si>
  <si>
    <t xml:space="preserve">PRD-MTHVEPQ0211</t>
  </si>
  <si>
    <t xml:space="preserve">Arbitel 92.5mg Tablet</t>
  </si>
  <si>
    <t xml:space="preserve">Telmisartan 80mg+Hydrochlorthiazide 12.5mg</t>
  </si>
  <si>
    <t xml:space="preserve">Antihypertensives - ARB Combinations</t>
  </si>
  <si>
    <t xml:space="preserve">aaccddfc-16cb-4ba1-93a4-53618224a860</t>
  </si>
  <si>
    <t xml:space="preserve">PRD-2100</t>
  </si>
  <si>
    <t xml:space="preserve">Arbitel H 40/12.5mg Tablet</t>
  </si>
  <si>
    <t xml:space="preserve">Telmisartan 40mg+Hydrochlorthiazide 12.5mg</t>
  </si>
  <si>
    <t xml:space="preserve">5a8b7787-3212-4e1e-96ac-2bec7396b24f</t>
  </si>
  <si>
    <t xml:space="preserve">PRD-MTHVCHFL184</t>
  </si>
  <si>
    <t xml:space="preserve">Arkamin 100mcg Tablet</t>
  </si>
  <si>
    <t xml:space="preserve">Torrent Pharma(India)</t>
  </si>
  <si>
    <t xml:space="preserve">Clonidine 100mcg</t>
  </si>
  <si>
    <t xml:space="preserve">Antihypertensives - Central Acting</t>
  </si>
  <si>
    <t xml:space="preserve">c2e0c539-6ead-435d-8fdd-c707d874c908</t>
  </si>
  <si>
    <t xml:space="preserve">PRD-7190</t>
  </si>
  <si>
    <t xml:space="preserve">Avastatin 10mg Tablet</t>
  </si>
  <si>
    <t xml:space="preserve">Cosmos Limited(Egypt)</t>
  </si>
  <si>
    <t xml:space="preserve">Atorvastatin 10mg</t>
  </si>
  <si>
    <t xml:space="preserve">Lipid-Lowering Agents (Statins)</t>
  </si>
  <si>
    <t xml:space="preserve">df88eec5-46d2-4978-ae4c-014670c79b03</t>
  </si>
  <si>
    <t xml:space="preserve">PRD-7729</t>
  </si>
  <si>
    <t xml:space="preserve">Avastin 20mg Tablet</t>
  </si>
  <si>
    <t xml:space="preserve">Atorvastatin 20mg</t>
  </si>
  <si>
    <t xml:space="preserve">ba4ff424-74da-4dc9-ae40-f66f3baaac7a</t>
  </si>
  <si>
    <t xml:space="preserve">PRD-6008</t>
  </si>
  <si>
    <t xml:space="preserve">Bilocor 10mg Tablet</t>
  </si>
  <si>
    <t xml:space="preserve">Bisoprolo 10mg</t>
  </si>
  <si>
    <t xml:space="preserve">b796d2d9-4eca-4bbc-a158-cf74d2f00fc5</t>
  </si>
  <si>
    <t xml:space="preserve">PRD-9095</t>
  </si>
  <si>
    <t xml:space="preserve">Bisolock 2.5mg Tablet</t>
  </si>
  <si>
    <t xml:space="preserve">Pharco Pharmaceuticals(Egypt)</t>
  </si>
  <si>
    <t xml:space="preserve">Bisoprolol 2.5mg</t>
  </si>
  <si>
    <t xml:space="preserve">422c6eb9-3e2b-4bf9-adf9-022bd74bb5d5</t>
  </si>
  <si>
    <t xml:space="preserve">PRD-MTHUYACH22</t>
  </si>
  <si>
    <t xml:space="preserve">Bisoprol 5mg Tablet</t>
  </si>
  <si>
    <t xml:space="preserve">Saja Pharmaceuticals(Egypt)</t>
  </si>
  <si>
    <t xml:space="preserve">Bisoprolol 5mg</t>
  </si>
  <si>
    <t xml:space="preserve">9ddfd232-7b5e-4fc2-901d-df97e9289839</t>
  </si>
  <si>
    <t xml:space="preserve">PRD-MTHVQ7FN346</t>
  </si>
  <si>
    <t xml:space="preserve">Carditas 20mg Retard Tablet</t>
  </si>
  <si>
    <t xml:space="preserve">Intas Pharmaceuticals Ltd.(India)</t>
  </si>
  <si>
    <t xml:space="preserve">Nifedipine 20mg</t>
  </si>
  <si>
    <t xml:space="preserve">5b39d19e-8629-41a3-8c0d-41357c8a3902</t>
  </si>
  <si>
    <t xml:space="preserve">PRD-8689</t>
  </si>
  <si>
    <t xml:space="preserve">Carpro 12.5mg Tablet</t>
  </si>
  <si>
    <t xml:space="preserve">Nabiqasim Industries(Pvt.) Ltd.(Pakistan)</t>
  </si>
  <si>
    <t xml:space="preserve">Carvedilol 12.5mg</t>
  </si>
  <si>
    <t xml:space="preserve">45f56b7a-47b5-43a1-9d25-8d349eb5a09d</t>
  </si>
  <si>
    <t xml:space="preserve">PRD-0652</t>
  </si>
  <si>
    <t xml:space="preserve">Clopikind 75mg Tablet</t>
  </si>
  <si>
    <t xml:space="preserve">Clopidogrel 75mg</t>
  </si>
  <si>
    <t xml:space="preserve">Antiplatelets</t>
  </si>
  <si>
    <t xml:space="preserve">191562b5-0b66-4d9f-9e16-6621a024e2b1</t>
  </si>
  <si>
    <t xml:space="preserve">PRD-8317</t>
  </si>
  <si>
    <t xml:space="preserve">Clopimeg 75mg Tablet</t>
  </si>
  <si>
    <t xml:space="preserve">Megma Healthcare Pvt. Ltd.</t>
  </si>
  <si>
    <t xml:space="preserve">5ed4c851-4e9b-4c5d-8736-251297bc5e9c</t>
  </si>
  <si>
    <t xml:space="preserve">PRD-MV3LFUHY</t>
  </si>
  <si>
    <t xml:space="preserve">Cloxipa 2.5mg Tablet</t>
  </si>
  <si>
    <t xml:space="preserve">Apixaban 2.5mg</t>
  </si>
  <si>
    <t xml:space="preserve">Anticoagulants</t>
  </si>
  <si>
    <t xml:space="preserve">bd578d62-82b9-495a-ad7e-b486158565d8</t>
  </si>
  <si>
    <t xml:space="preserve">PRD-MV3LD0EU</t>
  </si>
  <si>
    <t xml:space="preserve">Cloxipa 5mg Tablet</t>
  </si>
  <si>
    <t xml:space="preserve">Apixaban 5mg</t>
  </si>
  <si>
    <t xml:space="preserve">b60c3f46-898d-46e5-9226-c523bde5bdc2</t>
  </si>
  <si>
    <t xml:space="preserve">PRD-MTHVAXBL165</t>
  </si>
  <si>
    <t xml:space="preserve">Dabirook 150mg Capsule</t>
  </si>
  <si>
    <t xml:space="preserve">Dabigatran 150mg</t>
  </si>
  <si>
    <t xml:space="preserve">34e6e24d-cfab-420f-b83a-bc1775cbfddf</t>
  </si>
  <si>
    <t xml:space="preserve">PRD-2218</t>
  </si>
  <si>
    <t xml:space="preserve">Doxazosin 4mg Tablet(milpharm)</t>
  </si>
  <si>
    <t xml:space="preserve">MILPHARM LIMITED(UK)</t>
  </si>
  <si>
    <t xml:space="preserve">DOXAZOSIN 4MG</t>
  </si>
  <si>
    <t xml:space="preserve">Antihypertensives - Alpha Blockers</t>
  </si>
  <si>
    <t xml:space="preserve">3501c41e-089b-4366-9c6f-a1a3dd2393db</t>
  </si>
  <si>
    <t xml:space="preserve">PRD-3412</t>
  </si>
  <si>
    <t xml:space="preserve">Exapine 40mg injection</t>
  </si>
  <si>
    <t xml:space="preserve">Wadi El Neel  Benta(Egypt)</t>
  </si>
  <si>
    <t xml:space="preserve">Enoxaparin Sodium 40mg/0.4ml</t>
  </si>
  <si>
    <t xml:space="preserve">Cardiovascular(Injectable)</t>
  </si>
  <si>
    <t xml:space="preserve">46dd5a0e-8310-44c5-9733-1754366cc890</t>
  </si>
  <si>
    <t xml:space="preserve">PRD-MTHV82KF131</t>
  </si>
  <si>
    <t xml:space="preserve">Finapril 10mg Tablet</t>
  </si>
  <si>
    <t xml:space="preserve">Enalapril 10mg</t>
  </si>
  <si>
    <t xml:space="preserve">Antihypertensives - ACE Inhibitors</t>
  </si>
  <si>
    <t xml:space="preserve">362eb37f-88e7-424a-b1db-de87fd79333f</t>
  </si>
  <si>
    <t xml:space="preserve">PRD-MTHV85CI132</t>
  </si>
  <si>
    <t xml:space="preserve">Finapril 20mg Tablet</t>
  </si>
  <si>
    <t xml:space="preserve">Enalapril 20mg</t>
  </si>
  <si>
    <t xml:space="preserve">d6c37e2d-2c18-4cc7-b57f-274db67fa13a</t>
  </si>
  <si>
    <t xml:space="preserve">PRD-MTHV882Z133</t>
  </si>
  <si>
    <t xml:space="preserve">Finapril 5mg Tablet</t>
  </si>
  <si>
    <t xml:space="preserve">Enalapril 5mg</t>
  </si>
  <si>
    <t xml:space="preserve">6cf948ac-9c1a-4e2c-ad9d-e690459e095b</t>
  </si>
  <si>
    <t xml:space="preserve">PRD-6793</t>
  </si>
  <si>
    <t xml:space="preserve">Frud 40mg Tablet</t>
  </si>
  <si>
    <t xml:space="preserve">Furosemide 40mg</t>
  </si>
  <si>
    <t xml:space="preserve">Diuretics</t>
  </si>
  <si>
    <t xml:space="preserve">fb565fdd-c9bb-4162-9b5b-0332151957dd</t>
  </si>
  <si>
    <t xml:space="preserve">PRD-MUV2AYL0</t>
  </si>
  <si>
    <t xml:space="preserve">Isonitrate 10mg Tablet</t>
  </si>
  <si>
    <t xml:space="preserve">Prevago Healthcare &amp; Research Pvt. Ltd.</t>
  </si>
  <si>
    <t xml:space="preserve">Isosorbide Mononitrate 10mg</t>
  </si>
  <si>
    <t xml:space="preserve">Heart Failure Therapy</t>
  </si>
  <si>
    <t xml:space="preserve">f2f6ef07-1036-47d2-a9db-5af1369f32d5</t>
  </si>
  <si>
    <t xml:space="preserve">PRD-MUGPCHGP</t>
  </si>
  <si>
    <t xml:space="preserve">Isosorbide Dinitrate 10mg(kiara)</t>
  </si>
  <si>
    <t xml:space="preserve">Kiara Health Pty. Ltd.(south Africa)</t>
  </si>
  <si>
    <t xml:space="preserve">Isosorbide Dinitrate 10mg</t>
  </si>
  <si>
    <t xml:space="preserve">e8657fab-a3cb-4812-befd-98072e7dffde</t>
  </si>
  <si>
    <t xml:space="preserve">PRD-9104</t>
  </si>
  <si>
    <t xml:space="preserve">Kamlodipine 5mg Tablet</t>
  </si>
  <si>
    <t xml:space="preserve">15bf1cb6-a889-43a6-bee4-3af81d77b17b</t>
  </si>
  <si>
    <t xml:space="preserve">PRD-MTHV9B72146</t>
  </si>
  <si>
    <t xml:space="preserve">Kasipro 25mg Tablet</t>
  </si>
  <si>
    <t xml:space="preserve">Spironolactone 25mg</t>
  </si>
  <si>
    <t xml:space="preserve">499ec338-ca41-4667-9112-ae2e3d3e7598</t>
  </si>
  <si>
    <t xml:space="preserve">PRD-MTHV9DY5147</t>
  </si>
  <si>
    <t xml:space="preserve">Kasipro 50mg Tablet</t>
  </si>
  <si>
    <t xml:space="preserve">Spironolactone 50mg</t>
  </si>
  <si>
    <t xml:space="preserve">887a404c-287a-4d28-97e8-f1159a302d4a</t>
  </si>
  <si>
    <t xml:space="preserve">PRD-8315</t>
  </si>
  <si>
    <t xml:space="preserve">Kaydigo 0.25mg Tablet</t>
  </si>
  <si>
    <t xml:space="preserve">Digoxin 0.25mg</t>
  </si>
  <si>
    <t xml:space="preserve">2aef6333-bcc5-4551-bc02-a57b4c198a59</t>
  </si>
  <si>
    <t xml:space="preserve">PRD-3012</t>
  </si>
  <si>
    <t xml:space="preserve">Lisinopril 10mg Tablet(Crescent)</t>
  </si>
  <si>
    <t xml:space="preserve">Crescent Pharma Ltd(UK)</t>
  </si>
  <si>
    <t xml:space="preserve">Lisinopril 10mg</t>
  </si>
  <si>
    <t xml:space="preserve">ff2dd0a0-12ee-4589-b8e2-0cce80e704da</t>
  </si>
  <si>
    <t xml:space="preserve">PRD-MV3J0L56</t>
  </si>
  <si>
    <t xml:space="preserve">Lmwx 40mg Pfs Injection</t>
  </si>
  <si>
    <t xml:space="preserve">Abbott Healthcare(INDIA)</t>
  </si>
  <si>
    <t xml:space="preserve">Thrombolytics</t>
  </si>
  <si>
    <t xml:space="preserve">0df7d5f5-ac46-448b-bd0a-0db2c49e667a</t>
  </si>
  <si>
    <t xml:space="preserve">PRD-MV3JGGG3</t>
  </si>
  <si>
    <t xml:space="preserve">Lobet 100mg Tablet</t>
  </si>
  <si>
    <t xml:space="preserve">Labetalol 100mg</t>
  </si>
  <si>
    <t xml:space="preserve">e0c1dc76-d9aa-4bfc-873b-254ae701c7e4</t>
  </si>
  <si>
    <t xml:space="preserve">PRD-MV3J2H81</t>
  </si>
  <si>
    <t xml:space="preserve">Lobet 5mg/4ml Injcetion</t>
  </si>
  <si>
    <t xml:space="preserve">Samarth Life Sciences Pvt. Ltd.(INDIA)</t>
  </si>
  <si>
    <t xml:space="preserve">Labetalol 20mg</t>
  </si>
  <si>
    <t xml:space="preserve">Beta-blockers</t>
  </si>
  <si>
    <t xml:space="preserve">3b6cedda-29b1-4ebd-b5d0-33c4dddb0f35</t>
  </si>
  <si>
    <t xml:space="preserve">PRD-MTHV3KG378</t>
  </si>
  <si>
    <t xml:space="preserve">Lomoh 40mg Injection</t>
  </si>
  <si>
    <t xml:space="preserve">Emcure Pharmaceuticals Ltd(India)</t>
  </si>
  <si>
    <t xml:space="preserve">ca71e81c-4005-4169-bf5a-4c9181329853</t>
  </si>
  <si>
    <t xml:space="preserve">PRD-4343</t>
  </si>
  <si>
    <t xml:space="preserve">Lomoh 60mg Injection</t>
  </si>
  <si>
    <t xml:space="preserve">Enoxaparin Sodium 60mg/0.6ml</t>
  </si>
  <si>
    <t xml:space="preserve">33edd53a-8a03-45a0-a76e-1a590f2e2b73</t>
  </si>
  <si>
    <t xml:space="preserve">PRD-MTHVOBNQ326</t>
  </si>
  <si>
    <t xml:space="preserve">Loprin 75mg Tablet</t>
  </si>
  <si>
    <t xml:space="preserve">Highnoon Laboratories Ltd(Pakistan)</t>
  </si>
  <si>
    <t xml:space="preserve">Aspirine 75mg</t>
  </si>
  <si>
    <t xml:space="preserve">825198b1-4ae3-40f4-b608-70e9f2cde3fb</t>
  </si>
  <si>
    <t xml:space="preserve">PRD-6171</t>
  </si>
  <si>
    <t xml:space="preserve">Losa 50mg tablet</t>
  </si>
  <si>
    <t xml:space="preserve">Losartan 50mg</t>
  </si>
  <si>
    <t xml:space="preserve">030139d0-a7b8-4c3d-82eb-22cb36821ad1</t>
  </si>
  <si>
    <t xml:space="preserve">PRD-MTHV8B67134</t>
  </si>
  <si>
    <t xml:space="preserve">Lotenz H 62.5mg Tablet</t>
  </si>
  <si>
    <t xml:space="preserve">Losartan 50mg+Hydrochlorthiazide 12.5mg</t>
  </si>
  <si>
    <t xml:space="preserve">6a8f0082-ea7c-41c0-b4a0-83ea516f765c</t>
  </si>
  <si>
    <t xml:space="preserve">PRD-1015</t>
  </si>
  <si>
    <t xml:space="preserve">Mdopa 250mg Tablet</t>
  </si>
  <si>
    <t xml:space="preserve">Medopharm(india)</t>
  </si>
  <si>
    <t xml:space="preserve">Methyldopa 250mg</t>
  </si>
  <si>
    <t xml:space="preserve">378e72b3-f941-492e-9c4d-e7e826032b0d</t>
  </si>
  <si>
    <t xml:space="preserve">PRD-MTHV55T997</t>
  </si>
  <si>
    <t xml:space="preserve">Metpure Xl 25mg Tablet</t>
  </si>
  <si>
    <t xml:space="preserve">Metoprolol 25mg</t>
  </si>
  <si>
    <t xml:space="preserve">52e50ca4-b5e2-4bfe-b1ac-8de1b53fbc8b</t>
  </si>
  <si>
    <t xml:space="preserve">PRD-MTHV58OX98</t>
  </si>
  <si>
    <t xml:space="preserve">Metpure Xl 50mg Tablet</t>
  </si>
  <si>
    <t xml:space="preserve">Metoprolol 50mg</t>
  </si>
  <si>
    <t xml:space="preserve">be102a99-f4ab-4513-955e-3e378ce3fa22</t>
  </si>
  <si>
    <t xml:space="preserve">PRD-MTHVNI6R317</t>
  </si>
  <si>
    <t xml:space="preserve">Mirel 18mg Injection</t>
  </si>
  <si>
    <t xml:space="preserve">Reliance Life Sciences(India)</t>
  </si>
  <si>
    <t xml:space="preserve">Reteplase Recombinant Tissue Plasminogen Activator 10 Units/18 Mg/Vial</t>
  </si>
  <si>
    <t xml:space="preserve">dd3c6874-1ea4-4abf-8809-d37f5d20b78f</t>
  </si>
  <si>
    <t xml:space="preserve">PRD-3074</t>
  </si>
  <si>
    <t xml:space="preserve">Nebilong 5mg Tablet</t>
  </si>
  <si>
    <t xml:space="preserve">Nebivolol 5mg</t>
  </si>
  <si>
    <t xml:space="preserve">f18070d9-985c-4c1f-9cd1-559ef9c012f7</t>
  </si>
  <si>
    <t xml:space="preserve">PRD-3665</t>
  </si>
  <si>
    <t xml:space="preserve">Nebium 10mg Tablet</t>
  </si>
  <si>
    <t xml:space="preserve">Nebivolol 10mg</t>
  </si>
  <si>
    <t xml:space="preserve">e060ba3b-d21e-4bb8-a0b6-32f20659dcd2</t>
  </si>
  <si>
    <t xml:space="preserve">PRD-9221</t>
  </si>
  <si>
    <t xml:space="preserve">Normojack 100mg Tablet</t>
  </si>
  <si>
    <t xml:space="preserve">Jackson Laboratories Pvt. Ltd.</t>
  </si>
  <si>
    <t xml:space="preserve">9e113172-0de2-4cff-b327-d8ffd910d79b</t>
  </si>
  <si>
    <t xml:space="preserve">PRD-1807</t>
  </si>
  <si>
    <t xml:space="preserve">Parin E 60mg/0.6ml Injection</t>
  </si>
  <si>
    <t xml:space="preserve">a4a59540-6b5a-4162-a01e-c4034138e8a0</t>
  </si>
  <si>
    <t xml:space="preserve">PRD-MTHV5BS399</t>
  </si>
  <si>
    <t xml:space="preserve">Plasep 75mg Tablet</t>
  </si>
  <si>
    <t xml:space="preserve">288ffd96-f8d4-4e4e-b033-9d219238b20a</t>
  </si>
  <si>
    <t xml:space="preserve">PRD-9370</t>
  </si>
  <si>
    <t xml:space="preserve">Propranolol 40mg Tablet(Kaushik)</t>
  </si>
  <si>
    <t xml:space="preserve">Propranolol 40mg</t>
  </si>
  <si>
    <t xml:space="preserve">f6b2b0d9-8c7a-4d4c-8322-c90cdf0e0dfc</t>
  </si>
  <si>
    <t xml:space="preserve">PRD-9954</t>
  </si>
  <si>
    <t xml:space="preserve">Pulmofirst 125mg Tablet</t>
  </si>
  <si>
    <t xml:space="preserve">Bosentan 125mg</t>
  </si>
  <si>
    <t xml:space="preserve">Pulmonary Arterial Hypertension Therapy</t>
  </si>
  <si>
    <t xml:space="preserve">3f99c883-4455-4496-b85f-1be8b2b142e4</t>
  </si>
  <si>
    <t xml:space="preserve">PRD-MTHVPFL2337</t>
  </si>
  <si>
    <t xml:space="preserve">Rosmi 10mg Tablet</t>
  </si>
  <si>
    <t xml:space="preserve">Rosuvastatin 10mg</t>
  </si>
  <si>
    <t xml:space="preserve">d66f72d5-a267-400d-bdf4-2f80e7ed23ae</t>
  </si>
  <si>
    <t xml:space="preserve">PRD-MTHVPIA9338</t>
  </si>
  <si>
    <t xml:space="preserve">Rosmi 20mg Tablet</t>
  </si>
  <si>
    <t xml:space="preserve">Rosuvastatin 20mg</t>
  </si>
  <si>
    <t xml:space="preserve">d37f50df-dfc2-457b-89ce-85ed7824acd0</t>
  </si>
  <si>
    <t xml:space="preserve">PRD-MTHVA1GO155</t>
  </si>
  <si>
    <t xml:space="preserve">Rosuvas 20mg Tablet</t>
  </si>
  <si>
    <t xml:space="preserve">b718f201-5b6a-494e-9418-ad579def9b88</t>
  </si>
  <si>
    <t xml:space="preserve">PRD-MTHUY6T821</t>
  </si>
  <si>
    <t xml:space="preserve">Rovstatin 20mg Tablet</t>
  </si>
  <si>
    <t xml:space="preserve">19ba029a-f538-49ac-825d-b71d8f1c3af6</t>
  </si>
  <si>
    <t xml:space="preserve">PRD-MTHV1UME58</t>
  </si>
  <si>
    <t xml:space="preserve">Sacuvan 100mg Tablet</t>
  </si>
  <si>
    <t xml:space="preserve">Hetero Healthcare Ltd(India)</t>
  </si>
  <si>
    <t xml:space="preserve">Sacubitril 49mg+Valsartan 51mg</t>
  </si>
  <si>
    <t xml:space="preserve">acc6f525-fab7-4f4b-b193-26489d4c4955</t>
  </si>
  <si>
    <t xml:space="preserve">PRD-MTHV1RQ457</t>
  </si>
  <si>
    <t xml:space="preserve">Sacuvan 40mg Tablet</t>
  </si>
  <si>
    <t xml:space="preserve">Sacubitril 24mg+Valsartan 26mg</t>
  </si>
  <si>
    <t xml:space="preserve">40754369-d245-4610-be72-75d4e9445172</t>
  </si>
  <si>
    <t xml:space="preserve">PRD-MTHV2PGQ68</t>
  </si>
  <si>
    <t xml:space="preserve">Statinor 20mg Tablet</t>
  </si>
  <si>
    <t xml:space="preserve">80716de7-62aa-41a0-b246-b91e4eb29f25</t>
  </si>
  <si>
    <t xml:space="preserve">PRD-MTHVPL95339</t>
  </si>
  <si>
    <t xml:space="preserve">Teli H 52.5mg Tablet</t>
  </si>
  <si>
    <t xml:space="preserve">bd11f093-f000-4d83-b7ae-94ed325db351</t>
  </si>
  <si>
    <t xml:space="preserve">PRD-MTHV9GXT148</t>
  </si>
  <si>
    <t xml:space="preserve">Telma 20mg Tablet</t>
  </si>
  <si>
    <t xml:space="preserve">Telmisartan 20mg</t>
  </si>
  <si>
    <t xml:space="preserve">42aa7db3-7072-4609-81f4-84976e5ce3de</t>
  </si>
  <si>
    <t xml:space="preserve">PRD-MTHV52YI96</t>
  </si>
  <si>
    <t xml:space="preserve">Telmikaa 40mg Tablet</t>
  </si>
  <si>
    <t xml:space="preserve">Telmisartan 40mg</t>
  </si>
  <si>
    <t xml:space="preserve">2513aa23-8f6e-4f40-a06a-b4679ac1e230</t>
  </si>
  <si>
    <t xml:space="preserve">PRD-6441</t>
  </si>
  <si>
    <t xml:space="preserve">Tenecterel 40mg Injection</t>
  </si>
  <si>
    <t xml:space="preserve">Tenecteplase 40mg</t>
  </si>
  <si>
    <t xml:space="preserve">5995de74-e18f-4c89-9d07-5cdae8a8e3a1</t>
  </si>
  <si>
    <t xml:space="preserve">PRD-MTHVPO9L340</t>
  </si>
  <si>
    <t xml:space="preserve">Torvast 20mg Tablet</t>
  </si>
  <si>
    <t xml:space="preserve">296e42e3-b324-4922-85ef-866ac45a0d80</t>
  </si>
  <si>
    <t xml:space="preserve">PRD-MUNYN4BC</t>
  </si>
  <si>
    <t xml:space="preserve">Tyra 20mg Tablet</t>
  </si>
  <si>
    <t xml:space="preserve">DAR AL DAWA(JORDAN)</t>
  </si>
  <si>
    <t xml:space="preserve">Tadalafil 20mg</t>
  </si>
  <si>
    <t xml:space="preserve">883756d6-9012-477c-8206-45d975f462c3</t>
  </si>
  <si>
    <t xml:space="preserve">PRD-9550</t>
  </si>
  <si>
    <t xml:space="preserve">Verapamil 40mg Tablet(UK)</t>
  </si>
  <si>
    <t xml:space="preserve">Verapamil 40mg</t>
  </si>
  <si>
    <t xml:space="preserve">22602deb-da90-48e0-be6c-a507f1751ad3</t>
  </si>
  <si>
    <t xml:space="preserve">PRD-0597</t>
  </si>
  <si>
    <t xml:space="preserve">Vidol 6.25mg Tablet</t>
  </si>
  <si>
    <t xml:space="preserve">Carvedilol 6.25mg</t>
  </si>
  <si>
    <t xml:space="preserve">41f32e83-5026-40db-a791-e35a95ec2800</t>
  </si>
  <si>
    <t xml:space="preserve">PRD-MTHUXXQW18</t>
  </si>
  <si>
    <t xml:space="preserve">Warfarin 5mg Tablet(Torrent UK)</t>
  </si>
  <si>
    <t xml:space="preserve">Torrent Pharma(Uk)</t>
  </si>
  <si>
    <t xml:space="preserve">Warfarin 5mg</t>
  </si>
  <si>
    <t xml:space="preserve">5b164cca-3002-4bdf-9ace-6705e18ba38d</t>
  </si>
  <si>
    <t xml:space="preserve">PRD-MTHV4C9I87</t>
  </si>
  <si>
    <t xml:space="preserve">Zylatan 50mg Tablet</t>
  </si>
  <si>
    <t xml:space="preserve">608f7a3c-56fb-4ea5-975a-65bcf3363dea</t>
  </si>
  <si>
    <t xml:space="preserve">PRD-MTHVEJTX209</t>
  </si>
  <si>
    <t xml:space="preserve">Ablept 300mg Capsule</t>
  </si>
  <si>
    <t xml:space="preserve">Gabapentin 300mg</t>
  </si>
  <si>
    <t xml:space="preserve">Central Nervous System(Oral Solid)</t>
  </si>
  <si>
    <t xml:space="preserve">Anticonvulsants / Neuropathic Pain</t>
  </si>
  <si>
    <t xml:space="preserve">central_nervous_system</t>
  </si>
  <si>
    <t xml:space="preserve">681e04a2-4dce-4d9b-b11f-6d3484798c23</t>
  </si>
  <si>
    <t xml:space="preserve">PRD-MTHV6BK6111</t>
  </si>
  <si>
    <t xml:space="preserve">Amyleb 25mg Tablet</t>
  </si>
  <si>
    <t xml:space="preserve">Amitryptiline 25mg</t>
  </si>
  <si>
    <t xml:space="preserve">Antidepressants</t>
  </si>
  <si>
    <t xml:space="preserve">882c49c6-87a9-4d03-9e1d-d2bad6a91336</t>
  </si>
  <si>
    <t xml:space="preserve">PRD-MTHV5EUA100</t>
  </si>
  <si>
    <t xml:space="preserve">Braiporin 200mg Tablet</t>
  </si>
  <si>
    <t xml:space="preserve">Sodium Valporate 200mg</t>
  </si>
  <si>
    <t xml:space="preserve">Anticonvulsants</t>
  </si>
  <si>
    <t xml:space="preserve">2eecd7ef-359b-451a-822d-4e919bf28b51</t>
  </si>
  <si>
    <t xml:space="preserve">PRD-MTHUXU5E17</t>
  </si>
  <si>
    <t xml:space="preserve">Flin 20mg Tablet</t>
  </si>
  <si>
    <t xml:space="preserve">Fluoxetine 20mg</t>
  </si>
  <si>
    <t xml:space="preserve">d587ab98-fb16-4429-888c-eabcc462ba5d</t>
  </si>
  <si>
    <t xml:space="preserve">PRD-MTHUYVR728</t>
  </si>
  <si>
    <t xml:space="preserve">Heridol 5mg Tablet</t>
  </si>
  <si>
    <t xml:space="preserve">Haloperidol 5mg</t>
  </si>
  <si>
    <t xml:space="preserve">Antipsychotics</t>
  </si>
  <si>
    <t xml:space="preserve">8683b70a-fa11-444f-9121-e8f03e27f5b1</t>
  </si>
  <si>
    <t xml:space="preserve">PRD-MTHUZXMS39</t>
  </si>
  <si>
    <t xml:space="preserve">Labtol 200mg Tablet</t>
  </si>
  <si>
    <t xml:space="preserve">Laboratory &amp; Allied Ltd.(Kenya)</t>
  </si>
  <si>
    <t xml:space="preserve">Carbamazepine 200mg</t>
  </si>
  <si>
    <t xml:space="preserve">5ddc0a64-aac6-44d1-8027-e120aa8f7b69</t>
  </si>
  <si>
    <t xml:space="preserve">PRD-2646</t>
  </si>
  <si>
    <t xml:space="preserve">Levaur 500mg TABLET</t>
  </si>
  <si>
    <t xml:space="preserve">Levetiracitam 500mg</t>
  </si>
  <si>
    <t xml:space="preserve">782f0b81-a43b-49b6-9be0-57142ff9212c</t>
  </si>
  <si>
    <t xml:space="preserve">PRD-MTHVLPDJ297</t>
  </si>
  <si>
    <t xml:space="preserve">Livogrif 500 Tablet</t>
  </si>
  <si>
    <t xml:space="preserve">Care Formulation Labs Pvt. Ltd.</t>
  </si>
  <si>
    <t xml:space="preserve">7c5626fd-e222-41dc-b2f9-a1891a7fd256</t>
  </si>
  <si>
    <t xml:space="preserve">PRD-MTHUW4Q80</t>
  </si>
  <si>
    <t xml:space="preserve">Lucetam 500mg Tablet</t>
  </si>
  <si>
    <t xml:space="preserve">Lucent Biotech Limited(India)</t>
  </si>
  <si>
    <t xml:space="preserve">d0e8d0bf-0078-437f-afc3-66d9eb509f78</t>
  </si>
  <si>
    <t xml:space="preserve">PRD-0035</t>
  </si>
  <si>
    <t xml:space="preserve">Nervilin 75mg Capsules</t>
  </si>
  <si>
    <t xml:space="preserve">PREGABALIN 75MG</t>
  </si>
  <si>
    <t xml:space="preserve">Neuro-Metabolic Support</t>
  </si>
  <si>
    <t xml:space="preserve">Contains pregabalin</t>
  </si>
  <si>
    <t xml:space="preserve">0f61c75a-515d-4a6c-b5c5-62e99eac0310</t>
  </si>
  <si>
    <t xml:space="preserve">PRD-0522</t>
  </si>
  <si>
    <t xml:space="preserve">Neurocare Plus Capsule</t>
  </si>
  <si>
    <t xml:space="preserve">METHYLCOBALAMIN 750MCG+PREGABALIN 75MG+FOLIC ACID 1.5MG+VITAMIN B6 3MG+ALPHA LIPOIC ACID 100MG</t>
  </si>
  <si>
    <t xml:space="preserve">7bd1ce98-4bd0-4f69-b0f9-f50919621216</t>
  </si>
  <si>
    <t xml:space="preserve">PRD-MUV3KG78</t>
  </si>
  <si>
    <t xml:space="preserve">Neurotrol 200mg Tablet</t>
  </si>
  <si>
    <t xml:space="preserve">0ab37a4a-3178-4c8b-8b19-73544e3d8750</t>
  </si>
  <si>
    <t xml:space="preserve">PRD-MTHVEGHF208</t>
  </si>
  <si>
    <t xml:space="preserve">Nucleo Cmp Forte Capsule</t>
  </si>
  <si>
    <t xml:space="preserve">Ferrer Internationals(South Africa)</t>
  </si>
  <si>
    <t xml:space="preserve">Cytidine 5'-Disodium Monophosphate 5mg+Uridine Neucleotide Comeplex 3mg</t>
  </si>
  <si>
    <t xml:space="preserve">bb000c06-a126-429a-b671-377165087f82</t>
  </si>
  <si>
    <t xml:space="preserve">PRD-7016</t>
  </si>
  <si>
    <t xml:space="preserve">Orilam Odt-100mg Tablet</t>
  </si>
  <si>
    <t xml:space="preserve">Lamotrigine 100mg</t>
  </si>
  <si>
    <t xml:space="preserve">dc193cf4-95d7-4f67-8957-3aa4f982e75b</t>
  </si>
  <si>
    <t xml:space="preserve">PRD-7597</t>
  </si>
  <si>
    <t xml:space="preserve">Risdone 1mg Tablet</t>
  </si>
  <si>
    <t xml:space="preserve">RISPERIDONE 1MG</t>
  </si>
  <si>
    <t xml:space="preserve">bf906d13-d9e1-44cd-8bda-cbe063ecabcf</t>
  </si>
  <si>
    <t xml:space="preserve">PRD-4476</t>
  </si>
  <si>
    <t xml:space="preserve">Risdone 2mg Tablet</t>
  </si>
  <si>
    <t xml:space="preserve">RISPERIDONE 2MG</t>
  </si>
  <si>
    <t xml:space="preserve">5e52daa6-89aa-45a0-ba98-ee1bbb8f0d2d</t>
  </si>
  <si>
    <t xml:space="preserve">PRD-MTHV8ET5135</t>
  </si>
  <si>
    <t xml:space="preserve">Ultravist 300 100ml Injection</t>
  </si>
  <si>
    <t xml:space="preserve">Zydus Healthcare Limited (Zydus Bayer)</t>
  </si>
  <si>
    <t xml:space="preserve">Iopromide 62.34gm/100ml</t>
  </si>
  <si>
    <t xml:space="preserve">Diagnostics &amp; Monitoring(Injectable)</t>
  </si>
  <si>
    <t xml:space="preserve">Contrast Media</t>
  </si>
  <si>
    <t xml:space="preserve">contrast_media</t>
  </si>
  <si>
    <t xml:space="preserve">156fb5b0-908b-450f-b20c-b60cf32ebc59</t>
  </si>
  <si>
    <t xml:space="preserve">PRD-MTHV5X69106</t>
  </si>
  <si>
    <t xml:space="preserve">Cortileb 15gm Cream</t>
  </si>
  <si>
    <t xml:space="preserve">Hydrocortisone Cream</t>
  </si>
  <si>
    <t xml:space="preserve">Dermatology(Topical)</t>
  </si>
  <si>
    <t xml:space="preserve">Topical Corticosteroids</t>
  </si>
  <si>
    <t xml:space="preserve">dermatology</t>
  </si>
  <si>
    <t xml:space="preserve">8d257052-088c-4505-96a4-5b1143b8a0ca</t>
  </si>
  <si>
    <t xml:space="preserve">PRD-MTHVEMTY210</t>
  </si>
  <si>
    <t xml:space="preserve">Elocom 0.1% 15gm Cream</t>
  </si>
  <si>
    <t xml:space="preserve">Organon Group Of Company(Belgium)</t>
  </si>
  <si>
    <t xml:space="preserve">Mometasone Furoate 01.%</t>
  </si>
  <si>
    <t xml:space="preserve">ca19ff59-c2a1-47fa-944f-f7e6310423a6</t>
  </si>
  <si>
    <t xml:space="preserve">PRD-MUY8UOOQ</t>
  </si>
  <si>
    <t xml:space="preserve">Tacroz Forte 0.1% 10gm Ointment</t>
  </si>
  <si>
    <t xml:space="preserve">Tacrolimus 0.1% W/V</t>
  </si>
  <si>
    <t xml:space="preserve">Consumables &amp; Hygiene</t>
  </si>
  <si>
    <t xml:space="preserve">Disinfectants &amp; Cleaning</t>
  </si>
  <si>
    <t xml:space="preserve">ERP filed it under Disinfectants</t>
  </si>
  <si>
    <t xml:space="preserve">45dd3989-27b2-42e8-b82b-adb3f7543df2</t>
  </si>
  <si>
    <t xml:space="preserve">PRD-3003</t>
  </si>
  <si>
    <t xml:space="preserve">Alvus Co 50/1000mg Tablet</t>
  </si>
  <si>
    <t xml:space="preserve">Innovata Pharmaceuticals(India)</t>
  </si>
  <si>
    <t xml:space="preserve">Vildagliptine 50mg+metformin 500mg</t>
  </si>
  <si>
    <t xml:space="preserve">Endocrine &amp; Metabolic(Oral Solid)</t>
  </si>
  <si>
    <t xml:space="preserve">Antidiabetics</t>
  </si>
  <si>
    <t xml:space="preserve">diabetes_and_endocrine</t>
  </si>
  <si>
    <t xml:space="preserve">3d5802c9-4422-48bb-b09a-5925cda72009</t>
  </si>
  <si>
    <t xml:space="preserve">PRD-3658</t>
  </si>
  <si>
    <t xml:space="preserve">Anti-thyrox 5mg Tablet</t>
  </si>
  <si>
    <t xml:space="preserve">CARBIMAZOLE 5MG</t>
  </si>
  <si>
    <t xml:space="preserve">Thyroid Hormones</t>
  </si>
  <si>
    <t xml:space="preserve">c1c597ce-9090-4932-ac8f-6bbf22ec083a</t>
  </si>
  <si>
    <t xml:space="preserve">PRD-MTHV1LWH55</t>
  </si>
  <si>
    <t xml:space="preserve">Biosulin N Isophane 100iu/Ml 10ml Insulin Vial</t>
  </si>
  <si>
    <t xml:space="preserve">M.J. Biopharm Pvt.Ltd.(India)</t>
  </si>
  <si>
    <t xml:space="preserve">Long Acting(Lente) Insulin</t>
  </si>
  <si>
    <t xml:space="preserve">Endocrine &amp; Metabolic(Injectable)</t>
  </si>
  <si>
    <t xml:space="preserve">Insulins</t>
  </si>
  <si>
    <t xml:space="preserve">14673ef1-fe9b-4b0b-accf-4573937b8abf</t>
  </si>
  <si>
    <t xml:space="preserve">PRD-7364</t>
  </si>
  <si>
    <t xml:space="preserve">Biosulin R 100iu/ml 10ml Insulin Vial</t>
  </si>
  <si>
    <t xml:space="preserve">Soluble(Short Acting) Insulin</t>
  </si>
  <si>
    <t xml:space="preserve">43f34d33-6449-4706-85ed-620c3a5ccdbc</t>
  </si>
  <si>
    <t xml:space="preserve">PRD-8197</t>
  </si>
  <si>
    <t xml:space="preserve">Dygli-50mg Tablet</t>
  </si>
  <si>
    <t xml:space="preserve">Sitagliptine 50mg</t>
  </si>
  <si>
    <t xml:space="preserve">2f416745-4ac9-4828-b2ac-e9542e24cf22</t>
  </si>
  <si>
    <t xml:space="preserve">PRD-MTHVQRTL352</t>
  </si>
  <si>
    <t xml:space="preserve">Eltroxin 100mg Tablet</t>
  </si>
  <si>
    <t xml:space="preserve">Aspen Pharmacare</t>
  </si>
  <si>
    <t xml:space="preserve">Levothyroxine 100mg</t>
  </si>
  <si>
    <t xml:space="preserve">b43c9eb4-472e-4f56-b237-5b8c66c42f05</t>
  </si>
  <si>
    <t xml:space="preserve">PRD-5865</t>
  </si>
  <si>
    <t xml:space="preserve">Eltroxin 25mcg Tablet</t>
  </si>
  <si>
    <t xml:space="preserve">Levothyroxine 25mg</t>
  </si>
  <si>
    <t xml:space="preserve">fbe3cc90-1db1-4671-aab9-b742b57f7461</t>
  </si>
  <si>
    <t xml:space="preserve">PRD-MTHVQUSV353</t>
  </si>
  <si>
    <t xml:space="preserve">Eltroxin 50mg Tablet</t>
  </si>
  <si>
    <t xml:space="preserve">Levothyroxine 50mg</t>
  </si>
  <si>
    <t xml:space="preserve">5a1e51aa-539d-4594-a208-cf3fbbbbd01a</t>
  </si>
  <si>
    <t xml:space="preserve">PRD-MTHUZJH235</t>
  </si>
  <si>
    <t xml:space="preserve">Gimetab 2mg Tablet</t>
  </si>
  <si>
    <t xml:space="preserve">Glimipiride 2mg</t>
  </si>
  <si>
    <t xml:space="preserve">3aff1b5c-8dd5-4e4c-aac4-8574029443ed</t>
  </si>
  <si>
    <t xml:space="preserve">PRD-MTHVO5BA324</t>
  </si>
  <si>
    <t xml:space="preserve">Glem-Lin 15mg Tablet</t>
  </si>
  <si>
    <t xml:space="preserve">Empagliflozin 10mg+Linagliptin 5mg</t>
  </si>
  <si>
    <t xml:space="preserve">3e290223-5806-4b62-9147-a16fa0aa5de9</t>
  </si>
  <si>
    <t xml:space="preserve">PRD-9567</t>
  </si>
  <si>
    <t xml:space="preserve">Glibenclamide(Vardhman) 5mg Tablet</t>
  </si>
  <si>
    <t xml:space="preserve">Vardhman Experts</t>
  </si>
  <si>
    <t xml:space="preserve">Glibenclamide 5mg</t>
  </si>
  <si>
    <t xml:space="preserve">cc895831-3321-44dd-b82e-51496010eac3</t>
  </si>
  <si>
    <t xml:space="preserve">PRD-4460</t>
  </si>
  <si>
    <t xml:space="preserve">Gliclan M 80/500mg Tablet</t>
  </si>
  <si>
    <t xml:space="preserve">GLICLAZIDE 80MG+METFORMIN 500MG</t>
  </si>
  <si>
    <t xml:space="preserve">9692de90-c1f6-4109-afac-426a7676a9a5</t>
  </si>
  <si>
    <t xml:space="preserve">PRD-1805</t>
  </si>
  <si>
    <t xml:space="preserve">Glimeth-Mf2 Tablet</t>
  </si>
  <si>
    <t xml:space="preserve">Johnlee Pharmaceuticals Pvt. Ltd.</t>
  </si>
  <si>
    <t xml:space="preserve">Metformin 500mg+Glimepride 2mg</t>
  </si>
  <si>
    <t xml:space="preserve">80759e74-d98b-477e-8ef1-7349a1daf446</t>
  </si>
  <si>
    <t xml:space="preserve">PRD-4164</t>
  </si>
  <si>
    <t xml:space="preserve">Glucozid  80mg Tablet</t>
  </si>
  <si>
    <t xml:space="preserve">Gliclazide 80mg</t>
  </si>
  <si>
    <t xml:space="preserve">ebc408d8-6fcf-4fb5-83e3-39ed1808cf87</t>
  </si>
  <si>
    <t xml:space="preserve">PRD-7253</t>
  </si>
  <si>
    <t xml:space="preserve">Glucozid M 80/500mg Tablet</t>
  </si>
  <si>
    <t xml:space="preserve">6648bd62-da2e-419d-a6ff-0e13ebca6d94</t>
  </si>
  <si>
    <t xml:space="preserve">PRD-MUXW5RI6</t>
  </si>
  <si>
    <t xml:space="preserve">Glymet 2mg Tablet</t>
  </si>
  <si>
    <t xml:space="preserve">ef14402c-bf9c-496c-b537-22ab2a7bf4f8</t>
  </si>
  <si>
    <t xml:space="preserve">PRD-MTHVQ4HN345</t>
  </si>
  <si>
    <t xml:space="preserve">Levemir 100iu/Ml 3ml Pf Pen</t>
  </si>
  <si>
    <t xml:space="preserve">Novo Nordisk(France)</t>
  </si>
  <si>
    <t xml:space="preserve">Mixed Insulin</t>
  </si>
  <si>
    <t xml:space="preserve">a7b21093-5a6e-4713-8b57-48e661ea35da</t>
  </si>
  <si>
    <t xml:space="preserve">PRD-MTHVN84S314</t>
  </si>
  <si>
    <t xml:space="preserve">Metfil 500mg Tablet</t>
  </si>
  <si>
    <t xml:space="preserve">Metformin 500mg</t>
  </si>
  <si>
    <t xml:space="preserve">e4b5d2fe-a553-42cf-9358-506859347108</t>
  </si>
  <si>
    <t xml:space="preserve">PRD-MTHVQE16348</t>
  </si>
  <si>
    <t xml:space="preserve">Novorapid 100iu/Ml 3ml Pf Pen</t>
  </si>
  <si>
    <t xml:space="preserve">24551067-e2ed-4a5b-a21f-3eeae362fd48</t>
  </si>
  <si>
    <t xml:space="preserve">PRD-MTHV9ND6150</t>
  </si>
  <si>
    <t xml:space="preserve">Ranophage Od 1gm Tablet</t>
  </si>
  <si>
    <t xml:space="preserve">Metformin 1gm</t>
  </si>
  <si>
    <t xml:space="preserve">333e43c9-2213-4114-b3e9-21f9d3e93338</t>
  </si>
  <si>
    <t xml:space="preserve">PRD-MTHVOEQ7327</t>
  </si>
  <si>
    <t xml:space="preserve">Secrin 1mg Tablet</t>
  </si>
  <si>
    <t xml:space="preserve">Glimipiride 1mg</t>
  </si>
  <si>
    <t xml:space="preserve">8196fc91-1628-46e4-9400-d8010ed627dd</t>
  </si>
  <si>
    <t xml:space="preserve">PRD-4111</t>
  </si>
  <si>
    <t xml:space="preserve">Secrin 2mg Tablet</t>
  </si>
  <si>
    <t xml:space="preserve">4d1062e5-9fe9-44a6-a83e-55600a25913b</t>
  </si>
  <si>
    <t xml:space="preserve">PRD-MV3JOFO9</t>
  </si>
  <si>
    <t xml:space="preserve">Sitaglyn 50mg Tablet</t>
  </si>
  <si>
    <t xml:space="preserve">6adc9dfa-2f58-4dec-ae1e-5dc2eb5851cb</t>
  </si>
  <si>
    <t xml:space="preserve">PRD-MV3JMX9U</t>
  </si>
  <si>
    <t xml:space="preserve">Sitaglyn M 50/1000mg Tablet</t>
  </si>
  <si>
    <t xml:space="preserve">Sitagliptin 50mg+Metformin 1000mg</t>
  </si>
  <si>
    <t xml:space="preserve">1b4480f7-150d-4c69-b127-050cfcc91d0a</t>
  </si>
  <si>
    <t xml:space="preserve">PRD-0795</t>
  </si>
  <si>
    <t xml:space="preserve">Sitatroy 50mg Tablet</t>
  </si>
  <si>
    <t xml:space="preserve">Royal Biotech</t>
  </si>
  <si>
    <t xml:space="preserve">a43932a0-4a6d-4354-8996-bd4a7da5b9ca</t>
  </si>
  <si>
    <t xml:space="preserve">PRD-6508</t>
  </si>
  <si>
    <t xml:space="preserve">Sitatroy M 50/1000mg Tablet</t>
  </si>
  <si>
    <t xml:space="preserve">22b18807-8535-45d9-850a-06b89ad112bd</t>
  </si>
  <si>
    <t xml:space="preserve">PRD-9723</t>
  </si>
  <si>
    <t xml:space="preserve">Sitatroy M 50/500mg Tablet</t>
  </si>
  <si>
    <t xml:space="preserve">Sitagliptin 50mg+Metformin 500mg</t>
  </si>
  <si>
    <t xml:space="preserve">d77e0c15-fe57-4a9c-8f9c-96be797a54e8</t>
  </si>
  <si>
    <t xml:space="preserve">PRD-MTHV2SE969</t>
  </si>
  <si>
    <t xml:space="preserve">Vigliptin 50mg Tablet</t>
  </si>
  <si>
    <t xml:space="preserve">Vildagliptin 50mg</t>
  </si>
  <si>
    <t xml:space="preserve">ad612070-9964-41ea-a2a7-181534c6e797</t>
  </si>
  <si>
    <t xml:space="preserve">PRD-3037</t>
  </si>
  <si>
    <t xml:space="preserve">Vigliptin M 50/500mg Tablet</t>
  </si>
  <si>
    <t xml:space="preserve">Vildagliptin 50mg+METFORMIN 500MG</t>
  </si>
  <si>
    <t xml:space="preserve">96ccb449-e742-49b0-8afc-97991f6b7936</t>
  </si>
  <si>
    <t xml:space="preserve">PRD-MV3JQ08K</t>
  </si>
  <si>
    <t xml:space="preserve">Vinglyn 50mg Tablet</t>
  </si>
  <si>
    <t xml:space="preserve">16f000ba-ff94-4fcd-afa3-224a09109347</t>
  </si>
  <si>
    <t xml:space="preserve">PRD-MTHVORCP330</t>
  </si>
  <si>
    <t xml:space="preserve">Wosulin 30/70 Biphasic Isophane Insulin 100iu/Ml 10ml Vial</t>
  </si>
  <si>
    <t xml:space="preserve">Wockhardt Ltd.(India)</t>
  </si>
  <si>
    <t xml:space="preserve">fb493e60-b1ad-4c05-aa9c-c01c3daeedf5</t>
  </si>
  <si>
    <t xml:space="preserve">PRD-MTHVOWJK331</t>
  </si>
  <si>
    <t xml:space="preserve">Wosulin R Human Insulin 100iu/Ml 10ml Vial</t>
  </si>
  <si>
    <t xml:space="preserve">89e5d415-a83b-42d1-bac0-c0f5832895a9</t>
  </si>
  <si>
    <t xml:space="preserve">PRD-3276</t>
  </si>
  <si>
    <t xml:space="preserve">Aller-Nil 20.1%W/V 5ml Eye Drop</t>
  </si>
  <si>
    <t xml:space="preserve">Appasamy Ocular Devices (P) Ltd</t>
  </si>
  <si>
    <t xml:space="preserve">Sodium Cromoglycate 20mg+Sodium Chlorid 0.1mg/Ml</t>
  </si>
  <si>
    <t xml:space="preserve">Anti-Allergy Eye Drops</t>
  </si>
  <si>
    <t xml:space="preserve">eye_care</t>
  </si>
  <si>
    <t xml:space="preserve">f6ab13b7-82fd-4a73-ae19-ad969c464bf5</t>
  </si>
  <si>
    <t xml:space="preserve">PRD-MTHV951H144</t>
  </si>
  <si>
    <t xml:space="preserve">Apdrops 5mg 3ml Eye Drop</t>
  </si>
  <si>
    <t xml:space="preserve">Ajanta Pharma Limited</t>
  </si>
  <si>
    <t xml:space="preserve">Moxifloxacine 5mg/Ml</t>
  </si>
  <si>
    <t xml:space="preserve">Antibiotic Eye Drops</t>
  </si>
  <si>
    <t xml:space="preserve">2f38fd4a-f098-4cef-990a-68a19ccccfad</t>
  </si>
  <si>
    <t xml:space="preserve">PRD-MTHV9807145</t>
  </si>
  <si>
    <t xml:space="preserve">Apdrops Dx 6mg 3ml Eye Drop</t>
  </si>
  <si>
    <t xml:space="preserve">Moxifloxacine 5mg+Dexamethasone 1mg/Ml</t>
  </si>
  <si>
    <t xml:space="preserve">Antibiotic-Steroid Eye Drops</t>
  </si>
  <si>
    <t xml:space="preserve">72d4ae28-1035-42fa-b1d4-0a1c1b893860</t>
  </si>
  <si>
    <t xml:space="preserve">PRD-MUXWAT19</t>
  </si>
  <si>
    <t xml:space="preserve">Brimogan Plus 2/5mg/ml 5ml Eye Drop</t>
  </si>
  <si>
    <t xml:space="preserve">Diamond Pharma</t>
  </si>
  <si>
    <t xml:space="preserve">Brimonidine 2MG+TIMOLOL 5MG/5ML</t>
  </si>
  <si>
    <t xml:space="preserve">Glaucoma Combinations</t>
  </si>
  <si>
    <t xml:space="preserve">5903df14-ec14-4614-9200-7e8cb9e1ec0b</t>
  </si>
  <si>
    <t xml:space="preserve">PRD-4707</t>
  </si>
  <si>
    <t xml:space="preserve">C-Pent 10% W/V Eye Drop</t>
  </si>
  <si>
    <t xml:space="preserve">Cyclopentolate 10mg/Ml</t>
  </si>
  <si>
    <t xml:space="preserve">Mydriatics / Cycloplegics</t>
  </si>
  <si>
    <t xml:space="preserve">5ca38bc3-e371-461c-b6ea-32e0a391179b</t>
  </si>
  <si>
    <t xml:space="preserve">PRD-5694</t>
  </si>
  <si>
    <t xml:space="preserve">Chloramphenicol 0.5%w/v Eye Drops(ciron)</t>
  </si>
  <si>
    <t xml:space="preserve">Chloramphenicol 5%W/V</t>
  </si>
  <si>
    <t xml:space="preserve">5c999b09-9e22-4cd5-978c-8ee4388bd028</t>
  </si>
  <si>
    <t xml:space="preserve">PRD-MTHVFPKL222</t>
  </si>
  <si>
    <t xml:space="preserve">Dexamycine 0.6% 5ml Eye Drop</t>
  </si>
  <si>
    <t xml:space="preserve">Dexamethasone 0.1%+Neomycine 0.5%</t>
  </si>
  <si>
    <t xml:space="preserve">810a1151-1d2e-4039-b50a-778aa4cd629d</t>
  </si>
  <si>
    <t xml:space="preserve">PRD-MTHV38UT74</t>
  </si>
  <si>
    <t xml:space="preserve">Dicinac 0.1% 10ml Eye Drop</t>
  </si>
  <si>
    <t xml:space="preserve">Dci Pharmaceuticals Pvt. Ltd.</t>
  </si>
  <si>
    <t xml:space="preserve">Diclofenac 0.1% W/V/Ml</t>
  </si>
  <si>
    <t xml:space="preserve">Anti-Inflammatory Eye Drops</t>
  </si>
  <si>
    <t xml:space="preserve">c5cd13e2-0a5e-4c9c-a8d2-533eb71eb6b5</t>
  </si>
  <si>
    <t xml:space="preserve">PRD-4643</t>
  </si>
  <si>
    <t xml:space="preserve">Duobrim Ls 0.15% W/V 5ml Eye Drop</t>
  </si>
  <si>
    <t xml:space="preserve">Senses Pharmaceuticals Pvt. Ltd</t>
  </si>
  <si>
    <t xml:space="preserve">Brimonidine 0.15%W/V</t>
  </si>
  <si>
    <t xml:space="preserve">Glaucoma - Alpha Agonists</t>
  </si>
  <si>
    <t xml:space="preserve">42d64ccd-5d6f-4fdb-b825-b51212a08fbe</t>
  </si>
  <si>
    <t xml:space="preserve">PRD-9606</t>
  </si>
  <si>
    <t xml:space="preserve">Episopt 25mg 5ml Eye Drop</t>
  </si>
  <si>
    <t xml:space="preserve">Epicio Opthalmics(Egypt)</t>
  </si>
  <si>
    <t xml:space="preserve">Dorzolamide 20mg+Timolol 5mg</t>
  </si>
  <si>
    <t xml:space="preserve">718ce76e-9704-4776-b40c-1adfed2d0665</t>
  </si>
  <si>
    <t xml:space="preserve">PRD-MUKVVKV6</t>
  </si>
  <si>
    <t xml:space="preserve">Grecrom 2% W/v 10ml Eye Drop</t>
  </si>
  <si>
    <t xml:space="preserve">Grevis Pharmaceuticals Pvt. Ltd.</t>
  </si>
  <si>
    <t xml:space="preserve">34416b54-8b33-4dac-824f-488b190f1e8a</t>
  </si>
  <si>
    <t xml:space="preserve">PRD-2530</t>
  </si>
  <si>
    <t xml:space="preserve">I-Phenicol 0.5% W/V 10ml Eye Drop</t>
  </si>
  <si>
    <t xml:space="preserve">Stallion Laboratories Ltd.(India)</t>
  </si>
  <si>
    <t xml:space="preserve">b7130d80-7957-4be9-81ab-f68466579c15</t>
  </si>
  <si>
    <t xml:space="preserve">PRD-MTHVAGJ1159</t>
  </si>
  <si>
    <t xml:space="preserve">Ioprost 0.005%W/V 2.5ml Eye Drop</t>
  </si>
  <si>
    <t xml:space="preserve">Orchidia Pharmaceutical Industries(India)</t>
  </si>
  <si>
    <t xml:space="preserve">Latanoprost 0.005% W/V+Timolol Maleate 0.5% W/V</t>
  </si>
  <si>
    <t xml:space="preserve">8126cf43-fb8e-44fe-8442-d2e13ea1fdc5</t>
  </si>
  <si>
    <t xml:space="preserve">PRD-2597</t>
  </si>
  <si>
    <t xml:space="preserve">Lacoma 5ml Eye Drop</t>
  </si>
  <si>
    <t xml:space="preserve">LATANOPROST 0.005% W/V</t>
  </si>
  <si>
    <t xml:space="preserve">Glaucoma - Prostaglandin Analogs</t>
  </si>
  <si>
    <t xml:space="preserve">0a17b121-5cde-49a4-ae8b-26f137cbeb9a</t>
  </si>
  <si>
    <t xml:space="preserve">PRD-MTHV9231143</t>
  </si>
  <si>
    <t xml:space="preserve">Lacoma T 55mg Eye Drop</t>
  </si>
  <si>
    <t xml:space="preserve">2011f87c-0f03-4b5c-80b7-9ee112edc106</t>
  </si>
  <si>
    <t xml:space="preserve">PRD-MV0LU9LT</t>
  </si>
  <si>
    <t xml:space="preserve">occumol 0.5% w/v eye drop</t>
  </si>
  <si>
    <t xml:space="preserve">Nepha Lifescience Limited</t>
  </si>
  <si>
    <t xml:space="preserve">Timolo 5.0mg</t>
  </si>
  <si>
    <t xml:space="preserve">Glaucoma - Beta Blockers</t>
  </si>
  <si>
    <t xml:space="preserve">a3a2a609-ed82-4a3e-9bf8-26861bf9ee7f</t>
  </si>
  <si>
    <t xml:space="preserve">PRD-9315</t>
  </si>
  <si>
    <t xml:space="preserve">Ocupres-E 0.5%W/V 5ml Eye Drop</t>
  </si>
  <si>
    <t xml:space="preserve">e14a48a4-7887-44f7-9463-04532d0de381</t>
  </si>
  <si>
    <t xml:space="preserve">PRD-7391</t>
  </si>
  <si>
    <t xml:space="preserve">Ozolamide 2% W/V 5ml Eye Drop</t>
  </si>
  <si>
    <t xml:space="preserve">Dorzolamide 22.26mg/Ml</t>
  </si>
  <si>
    <t xml:space="preserve">30c45e61-b8ef-45b2-a261-fe20bc237a71</t>
  </si>
  <si>
    <t xml:space="preserve">PRD-MTHVFSWC223</t>
  </si>
  <si>
    <t xml:space="preserve">Tetravard 1%W/W 5gm Eye Ointment</t>
  </si>
  <si>
    <t xml:space="preserve">Tetracycline Hydrochloride 1%W/W</t>
  </si>
  <si>
    <t xml:space="preserve">Antibiotic Eye Ointments</t>
  </si>
  <si>
    <t xml:space="preserve">453db3a7-9dca-4966-8ccd-8a90010f68b3</t>
  </si>
  <si>
    <t xml:space="preserve">PRD-MTHV3ZLE83</t>
  </si>
  <si>
    <t xml:space="preserve">Cyclopam 520mg Tablet</t>
  </si>
  <si>
    <t xml:space="preserve">Dicyclomine Hydrochloride 20mg+Paracetamol 500mg</t>
  </si>
  <si>
    <t xml:space="preserve">Antispasmodics</t>
  </si>
  <si>
    <t xml:space="preserve">gastrointestinal</t>
  </si>
  <si>
    <t xml:space="preserve">6b729cae-70d5-407c-b633-c80bcecc41cc</t>
  </si>
  <si>
    <t xml:space="preserve">PRD-MUV496YP</t>
  </si>
  <si>
    <t xml:space="preserve">Emitino 8mg Md Tablet</t>
  </si>
  <si>
    <t xml:space="preserve">Ondansetron 8mg</t>
  </si>
  <si>
    <t xml:space="preserve">Antiemetics</t>
  </si>
  <si>
    <t xml:space="preserve">218e6343-7756-4a93-a179-7aa64a5bea7b</t>
  </si>
  <si>
    <t xml:space="preserve">PRD-MTHV01AM40</t>
  </si>
  <si>
    <t xml:space="preserve">Esoril 40mg Capsule</t>
  </si>
  <si>
    <t xml:space="preserve">Esomeprazole 40mg</t>
  </si>
  <si>
    <t xml:space="preserve">69a2849e-fefb-48ce-b57f-dc067dc8ae5c</t>
  </si>
  <si>
    <t xml:space="preserve">PRD-5252</t>
  </si>
  <si>
    <t xml:space="preserve">Esoz 20mg Tablet</t>
  </si>
  <si>
    <t xml:space="preserve">Esomeprazole 20mg</t>
  </si>
  <si>
    <t xml:space="preserve">54104ee6-6354-464f-a773-fb0b528e67ec</t>
  </si>
  <si>
    <t xml:space="preserve">PRD-MTHV8YXV142</t>
  </si>
  <si>
    <t xml:space="preserve">Ezocid-Iv 40mg Injection</t>
  </si>
  <si>
    <t xml:space="preserve">Gastrointestinal(Injectable)</t>
  </si>
  <si>
    <t xml:space="preserve">86d36240-c323-43fb-a40d-c0dcc585a938</t>
  </si>
  <si>
    <t xml:space="preserve">PRD-5186</t>
  </si>
  <si>
    <t xml:space="preserve">helicure 20/500/500mg 2s Tablet</t>
  </si>
  <si>
    <t xml:space="preserve">Egyphar(Egypt)</t>
  </si>
  <si>
    <t xml:space="preserve">Clarithromycine 500mg+omeprazole 20mg+tinidazole 500mg</t>
  </si>
  <si>
    <t xml:space="preserve">2e24a4d7-93ff-467d-9b2b-a5d9ab4fe8cf</t>
  </si>
  <si>
    <t xml:space="preserve">PRD-6922</t>
  </si>
  <si>
    <t xml:space="preserve">Hybro-10mg Tablet</t>
  </si>
  <si>
    <t xml:space="preserve">Medop</t>
  </si>
  <si>
    <t xml:space="preserve">Hyoscine Butylbromide 10mg</t>
  </si>
  <si>
    <t xml:space="preserve">c64eaad2-f26f-4b29-8841-ed978842178e</t>
  </si>
  <si>
    <t xml:space="preserve">PRD-MUGP0AXF</t>
  </si>
  <si>
    <t xml:space="preserve">Nexpro 40mg Injection</t>
  </si>
  <si>
    <t xml:space="preserve">8674bb42-ef9f-472b-b0c7-5c60092db9dd</t>
  </si>
  <si>
    <t xml:space="preserve">PRD-MTHV5HU1101</t>
  </si>
  <si>
    <t xml:space="preserve">Nosic Tablet</t>
  </si>
  <si>
    <t xml:space="preserve">Doxylamine 10mg+Pyridoxine 10mg</t>
  </si>
  <si>
    <t xml:space="preserve">b522e69e-1893-41ab-9b05-7f9515b20cfc</t>
  </si>
  <si>
    <t xml:space="preserve">PRD-MTHVP04K332</t>
  </si>
  <si>
    <t xml:space="preserve">Omlink 20mg Capsule</t>
  </si>
  <si>
    <t xml:space="preserve">Omeprazole 20mg</t>
  </si>
  <si>
    <t xml:space="preserve">c57ff35e-2140-455a-b15e-6136b3671d0f</t>
  </si>
  <si>
    <t xml:space="preserve">PRD-MTHVQBBR347</t>
  </si>
  <si>
    <t xml:space="preserve">Onsett 2mg/Ml 2ml Injection</t>
  </si>
  <si>
    <t xml:space="preserve">Ondansetron 2mg/Ml</t>
  </si>
  <si>
    <t xml:space="preserve">e3a27d64-4095-4067-b126-e736d5804813</t>
  </si>
  <si>
    <t xml:space="preserve">PRD-MTHVOML6329</t>
  </si>
  <si>
    <t xml:space="preserve">Sediproct 15mg Suppositories</t>
  </si>
  <si>
    <t xml:space="preserve">Medical Union Pharmaceuticals(Egypt)</t>
  </si>
  <si>
    <t xml:space="preserve">Hydrocortisone 5mg+Framycetin 10mg</t>
  </si>
  <si>
    <t xml:space="preserve">Suppositories</t>
  </si>
  <si>
    <t xml:space="preserve">Gastrointestinal(Topical)</t>
  </si>
  <si>
    <t xml:space="preserve">Anorectal / Hemorrhoid Care</t>
  </si>
  <si>
    <t xml:space="preserve">a8d77c50-46bb-4ef4-9735-0e5d9844e0a9</t>
  </si>
  <si>
    <t xml:space="preserve">PRD-MTHVOID0328</t>
  </si>
  <si>
    <t xml:space="preserve">Sediproct 20gm Cream</t>
  </si>
  <si>
    <t xml:space="preserve">Hydrocortisone 500mg+Cinchocaine 500mg/100gm</t>
  </si>
  <si>
    <t xml:space="preserve">12e78418-dc20-4169-b85f-eb05426bbebf</t>
  </si>
  <si>
    <t xml:space="preserve">PRD-6542</t>
  </si>
  <si>
    <t xml:space="preserve">Trupan 20mg Tablet</t>
  </si>
  <si>
    <t xml:space="preserve">Pantoprazole 20mg</t>
  </si>
  <si>
    <t xml:space="preserve">d6494c16-ea8b-4f7e-9a85-0b285ad81a0f</t>
  </si>
  <si>
    <t xml:space="preserve">PRD-MUV45IDH</t>
  </si>
  <si>
    <t xml:space="preserve">Vomikind Md 4mg Tablet</t>
  </si>
  <si>
    <t xml:space="preserve">Mank</t>
  </si>
  <si>
    <t xml:space="preserve">Ondansetron 4mg</t>
  </si>
  <si>
    <t xml:space="preserve">6bbba310-b22c-45fe-999d-82c60213336e</t>
  </si>
  <si>
    <t xml:space="preserve">PRD-MTHUYH3424</t>
  </si>
  <si>
    <t xml:space="preserve">Allocore 300mg Tablet</t>
  </si>
  <si>
    <t xml:space="preserve">Allopurinol 300mg</t>
  </si>
  <si>
    <t xml:space="preserve">Musculoskeletal &amp; Gout(Oral Solid)</t>
  </si>
  <si>
    <t xml:space="preserve">Uric Acid Lowering Agents</t>
  </si>
  <si>
    <t xml:space="preserve">gout_and_musculoskeletal</t>
  </si>
  <si>
    <t xml:space="preserve">f676b9e9-3774-476f-b294-b4c471791a41</t>
  </si>
  <si>
    <t xml:space="preserve">PRD-MTHUYKFW25</t>
  </si>
  <si>
    <t xml:space="preserve">Allopurinol 100mg Tablet</t>
  </si>
  <si>
    <t xml:space="preserve">Indoco Remedies Uk Limited(Uk)</t>
  </si>
  <si>
    <t xml:space="preserve">Allopurinol 100mg</t>
  </si>
  <si>
    <t xml:space="preserve">aae30c9d-d98c-41dc-908b-ef119fd1c4df</t>
  </si>
  <si>
    <t xml:space="preserve">PRD-MTHVPXXB343</t>
  </si>
  <si>
    <t xml:space="preserve">G-Out 0.5mg Tablet</t>
  </si>
  <si>
    <t xml:space="preserve">Colchicine 0.5mg</t>
  </si>
  <si>
    <t xml:space="preserve">Gout Treatment</t>
  </si>
  <si>
    <t xml:space="preserve">af84da49-c724-45a9-85a6-ac9486cd62e5</t>
  </si>
  <si>
    <t xml:space="preserve">PRD-MTHVEYCI214</t>
  </si>
  <si>
    <t xml:space="preserve">Mebux 40mg Tablet</t>
  </si>
  <si>
    <t xml:space="preserve">Febuxostat 40mg</t>
  </si>
  <si>
    <t xml:space="preserve">b60f6a58-815a-4465-9b86-e41b5588f30b</t>
  </si>
  <si>
    <t xml:space="preserve">PRD-MV3ILQO4</t>
  </si>
  <si>
    <t xml:space="preserve">Eldervit 12 Injection</t>
  </si>
  <si>
    <t xml:space="preserve">Vitamin B12 2500mcg+Vitamin C 150mg+Folic Acid 0.7mg+Niacinamide 12mg</t>
  </si>
  <si>
    <t xml:space="preserve">Vitamins, Minerals &amp; Supplements(Injectable)</t>
  </si>
  <si>
    <t xml:space="preserve">Blood Booster</t>
  </si>
  <si>
    <t xml:space="preserve">hematology</t>
  </si>
  <si>
    <t xml:space="preserve">Injectable blood booster = prescription</t>
  </si>
  <si>
    <t xml:space="preserve">dbe41fb0-0010-469f-87d6-936cbe131687</t>
  </si>
  <si>
    <t xml:space="preserve">PRD-MTHVDM63198</t>
  </si>
  <si>
    <t xml:space="preserve">Eltrocen 50mg Tablet</t>
  </si>
  <si>
    <t xml:space="preserve">Eltrombopeg 50mg</t>
  </si>
  <si>
    <t xml:space="preserve">Hematology &amp; Coagulation(Oral Solid)</t>
  </si>
  <si>
    <t xml:space="preserve">Thrombopoietin Receptor Agonists</t>
  </si>
  <si>
    <t xml:space="preserve">5b0a4652-b10a-42f5-8709-cc8d279df293</t>
  </si>
  <si>
    <t xml:space="preserve">PRD-MTHVDP2Z199</t>
  </si>
  <si>
    <t xml:space="preserve">Eltropeg 50mg Tablet</t>
  </si>
  <si>
    <t xml:space="preserve">Medicamen Biotech Ltd</t>
  </si>
  <si>
    <t xml:space="preserve">55ef7446-42e9-44fc-a27e-6617a8734498</t>
  </si>
  <si>
    <t xml:space="preserve">PRD-1654</t>
  </si>
  <si>
    <t xml:space="preserve">Innofer 100mg/5ml Injection</t>
  </si>
  <si>
    <t xml:space="preserve">Iron Sucrose 20mg/Ml</t>
  </si>
  <si>
    <t xml:space="preserve">14fe48c2-1e5b-4934-bc5c-8caee0c4a248</t>
  </si>
  <si>
    <t xml:space="preserve">PRD-MTHVCKWY185</t>
  </si>
  <si>
    <t xml:space="preserve">Neukin 300mcg Pfs Injection</t>
  </si>
  <si>
    <t xml:space="preserve">Filgrastine 300mcg</t>
  </si>
  <si>
    <t xml:space="preserve">Hematology &amp; Coagulation(Injectable)</t>
  </si>
  <si>
    <t xml:space="preserve">Colony Stimulating Factors</t>
  </si>
  <si>
    <t xml:space="preserve">18bbb621-46a6-4eae-8c01-b5fa4b2be906</t>
  </si>
  <si>
    <t xml:space="preserve">PRD-MTHV3TW281</t>
  </si>
  <si>
    <t xml:space="preserve">Rhoclone 300mcg Immunoglobulin</t>
  </si>
  <si>
    <t xml:space="preserve">Bharat Serum And Vaccines Limited</t>
  </si>
  <si>
    <t xml:space="preserve">Anti-D Immunoglobulin</t>
  </si>
  <si>
    <t xml:space="preserve">Immunoglobulins</t>
  </si>
  <si>
    <t xml:space="preserve">f8689f87-a7ee-4f45-8769-e477c4ce5dc4</t>
  </si>
  <si>
    <t xml:space="preserve">PRD-MUMF2BRL</t>
  </si>
  <si>
    <t xml:space="preserve">Udihep Forte 300mg Tablet</t>
  </si>
  <si>
    <t xml:space="preserve">Win-medicare Pvt. Ltd.</t>
  </si>
  <si>
    <t xml:space="preserve">Ursodeoxycholic Acid 300mg</t>
  </si>
  <si>
    <t xml:space="preserve">e87b8cd3-bea4-4a5d-b062-204553ee10cf</t>
  </si>
  <si>
    <t xml:space="preserve">PRD-MTHV42QT84</t>
  </si>
  <si>
    <t xml:space="preserve">Vintor 4000iu Pfs Injection</t>
  </si>
  <si>
    <t xml:space="preserve">Erythropoetin 4000iu</t>
  </si>
  <si>
    <t xml:space="preserve">Erythropoiesis Stimulating Agents</t>
  </si>
  <si>
    <t xml:space="preserve">2d44438c-41bc-4363-bc11-fa5d998477bf</t>
  </si>
  <si>
    <t xml:space="preserve">PRD-MV3IV9GL</t>
  </si>
  <si>
    <t xml:space="preserve">Biomus 0.5mg Capsule</t>
  </si>
  <si>
    <t xml:space="preserve">Alniche Life Sciences Pvt. Ltd(INDIA)</t>
  </si>
  <si>
    <t xml:space="preserve">Tacrolimus 0.5mg</t>
  </si>
  <si>
    <t xml:space="preserve">Oncology &amp; Immunosuppressants(Oral Solid)</t>
  </si>
  <si>
    <t xml:space="preserve">Immunosuppressants</t>
  </si>
  <si>
    <t xml:space="preserve">immunosuppressants</t>
  </si>
  <si>
    <t xml:space="preserve">d69e47ba-45de-4b84-bb63-481ab74ada8d</t>
  </si>
  <si>
    <t xml:space="preserve">PRD-MV3IYL0N</t>
  </si>
  <si>
    <t xml:space="preserve">Biomus 1mg Capsule</t>
  </si>
  <si>
    <t xml:space="preserve">Tacrolimus 1mg</t>
  </si>
  <si>
    <t xml:space="preserve">f99bddbe-b2b3-468e-90b5-a4fd325b5f4f</t>
  </si>
  <si>
    <t xml:space="preserve">PRD-MV3IZNWO</t>
  </si>
  <si>
    <t xml:space="preserve">Biomus 2mg Capsule</t>
  </si>
  <si>
    <t xml:space="preserve">Tacrolimus 2mg</t>
  </si>
  <si>
    <t xml:space="preserve">ae34a4bc-edc6-48f5-9998-4c2320639399</t>
  </si>
  <si>
    <t xml:space="preserve">PRD-MUNWIL9Y</t>
  </si>
  <si>
    <t xml:space="preserve">Entavir 0.5mg Tablet</t>
  </si>
  <si>
    <t xml:space="preserve">Cipla Ltd(India)</t>
  </si>
  <si>
    <t xml:space="preserve">Entecavir 0.5mg</t>
  </si>
  <si>
    <t xml:space="preserve">e6480ad1-5b54-4b06-a10d-d3368d1b73c8</t>
  </si>
  <si>
    <t xml:space="preserve">PRD-3602</t>
  </si>
  <si>
    <t xml:space="preserve">Mofecon 500mg Tablet</t>
  </si>
  <si>
    <t xml:space="preserve">Concord Biotech Limited(India)</t>
  </si>
  <si>
    <t xml:space="preserve">Mycophenolate 500mg</t>
  </si>
  <si>
    <t xml:space="preserve">f498ce47-e945-46d1-8aeb-477a6412b09c</t>
  </si>
  <si>
    <t xml:space="preserve">PRD-MTHVCO71186</t>
  </si>
  <si>
    <t xml:space="preserve">Mofecon-S 360mg Tablet</t>
  </si>
  <si>
    <t xml:space="preserve">Mycophenolate 360mg</t>
  </si>
  <si>
    <t xml:space="preserve">7c8b0575-cf87-48d0-8561-ed39d3433335</t>
  </si>
  <si>
    <t xml:space="preserve">PRD-MTHVCQXP187</t>
  </si>
  <si>
    <t xml:space="preserve">Mofilet 360mg Tablet</t>
  </si>
  <si>
    <t xml:space="preserve">6ba49192-6dc4-4374-9273-d2f0dd00c60d</t>
  </si>
  <si>
    <t xml:space="preserve">PRD-MTHVCWDR189</t>
  </si>
  <si>
    <t xml:space="preserve">Mofilet 500mg Tablet</t>
  </si>
  <si>
    <t xml:space="preserve">25f24416-93c8-4793-99fd-d0ee561fbd25</t>
  </si>
  <si>
    <t xml:space="preserve">PRD-MTHVCZ3H190</t>
  </si>
  <si>
    <t xml:space="preserve">Pangraf 0.5mg Capsule</t>
  </si>
  <si>
    <t xml:space="preserve">4a489fc8-9c69-415e-b62d-8e90aeb210c9</t>
  </si>
  <si>
    <t xml:space="preserve">PRD-MTHVD4HV192</t>
  </si>
  <si>
    <t xml:space="preserve">Pangraf 1mg Capsule</t>
  </si>
  <si>
    <t xml:space="preserve">42c79575-cdfe-4a56-8bcd-a5bbba30c9e7</t>
  </si>
  <si>
    <t xml:space="preserve">PRD-MTHVD9VW194</t>
  </si>
  <si>
    <t xml:space="preserve">Pangraf 2mg Capsule</t>
  </si>
  <si>
    <t xml:space="preserve">cf316640-c646-4e8d-ad84-a28ad2500a56</t>
  </si>
  <si>
    <t xml:space="preserve">PRD-MTHVBC05170</t>
  </si>
  <si>
    <t xml:space="preserve">Psorid 100mg Capsule</t>
  </si>
  <si>
    <t xml:space="preserve">Biocon Ltd(India)</t>
  </si>
  <si>
    <t xml:space="preserve">Cyclosporin 100mg</t>
  </si>
  <si>
    <t xml:space="preserve">df830857-4004-4119-953b-c727df434054</t>
  </si>
  <si>
    <t xml:space="preserve">PRD-MTHVBK48173</t>
  </si>
  <si>
    <t xml:space="preserve">Psorid 50mg Capsule</t>
  </si>
  <si>
    <t xml:space="preserve">Cyclosporin 50mg</t>
  </si>
  <si>
    <t xml:space="preserve">2eb54daa-d3ad-4e68-a2f0-8688772368aa</t>
  </si>
  <si>
    <t xml:space="preserve">PRD-MTHVBPKV175</t>
  </si>
  <si>
    <t xml:space="preserve">Vingraf 0.5mg Capsule</t>
  </si>
  <si>
    <t xml:space="preserve">1cc1981d-71eb-450a-aad6-797775422127</t>
  </si>
  <si>
    <t xml:space="preserve">PRD-MV3IQM2T</t>
  </si>
  <si>
    <t xml:space="preserve">Vingraf 2mg Capsule</t>
  </si>
  <si>
    <t xml:space="preserve">c937ee90-5432-4755-8437-63c704ddcc6c</t>
  </si>
  <si>
    <t xml:space="preserve">PRD-MV3IOV3U</t>
  </si>
  <si>
    <t xml:space="preserve">Vingrag 1mg Capsule</t>
  </si>
  <si>
    <t xml:space="preserve">a21f7828-85d9-4e72-a6b3-40472351f877</t>
  </si>
  <si>
    <t xml:space="preserve">PRD-MTHUWCUB2</t>
  </si>
  <si>
    <t xml:space="preserve">Alkay Er 600mg Tablet</t>
  </si>
  <si>
    <t xml:space="preserve">Potassium Chloride 600mg Er</t>
  </si>
  <si>
    <t xml:space="preserve">Electrolytes &amp; Fluids</t>
  </si>
  <si>
    <t xml:space="preserve">metabolic_and_electrolytes</t>
  </si>
  <si>
    <t xml:space="preserve">0cf326f5-b7ee-4dce-857c-7b608f3fc22c</t>
  </si>
  <si>
    <t xml:space="preserve">PRD-MTHVDS3R200</t>
  </si>
  <si>
    <t xml:space="preserve">Ahabir 500mg 60s Tablet</t>
  </si>
  <si>
    <t xml:space="preserve">Abiraterone 500mg</t>
  </si>
  <si>
    <t xml:space="preserve">Antineoplastic - Hormonal</t>
  </si>
  <si>
    <t xml:space="preserve">oncology</t>
  </si>
  <si>
    <t xml:space="preserve">4b4f83e2-8b7f-4b44-b5cc-06734fa1c874</t>
  </si>
  <si>
    <t xml:space="preserve">PRD-MTHUYO7R26</t>
  </si>
  <si>
    <t xml:space="preserve">Anastrozole 1mg Tablet(Amarox Limited)</t>
  </si>
  <si>
    <t xml:space="preserve">Amarox Limited(Uk</t>
  </si>
  <si>
    <t xml:space="preserve">Anastrozole 1mg</t>
  </si>
  <si>
    <t xml:space="preserve">ea6abab9-afb8-4fd0-b720-96af5f083224</t>
  </si>
  <si>
    <t xml:space="preserve">PRD-MTHVDZUD203</t>
  </si>
  <si>
    <t xml:space="preserve">Anatero 1mg Tablet</t>
  </si>
  <si>
    <t xml:space="preserve">8a019ada-6e7d-4ea5-999f-f551ce6e1794</t>
  </si>
  <si>
    <t xml:space="preserve">PRD-MTHVE2SR204</t>
  </si>
  <si>
    <t xml:space="preserve">Bicatero 50mg Tablet</t>
  </si>
  <si>
    <t xml:space="preserve">Bicalutamide 50mg</t>
  </si>
  <si>
    <t xml:space="preserve">44e009ba-e4af-45ce-85f6-29d8aa13fe5f</t>
  </si>
  <si>
    <t xml:space="preserve">PRD-MTHVDFOE196</t>
  </si>
  <si>
    <t xml:space="preserve">Blastyra 10mg Injection</t>
  </si>
  <si>
    <t xml:space="preserve">Medyra Pharmaceuticals Limited</t>
  </si>
  <si>
    <t xml:space="preserve">Vinblastine 10mg</t>
  </si>
  <si>
    <t xml:space="preserve">Oncology &amp; Immunosuppressants(Injectable)</t>
  </si>
  <si>
    <t xml:space="preserve">Chemotherapy - Vinca Alkaloids</t>
  </si>
  <si>
    <t xml:space="preserve">a9980b33-f92a-426b-99a4-efdd18419dfd</t>
  </si>
  <si>
    <t xml:space="preserve">PRD-MTHVBVZC177</t>
  </si>
  <si>
    <t xml:space="preserve">Bortecad 2mg Injection</t>
  </si>
  <si>
    <t xml:space="preserve">Bortezumab 2mg</t>
  </si>
  <si>
    <t xml:space="preserve">Antineoplastic - Targeted Therapy</t>
  </si>
  <si>
    <t xml:space="preserve">8f603f8f-38da-4161-a95d-79b01f05d691</t>
  </si>
  <si>
    <t xml:space="preserve">PRD-MTHUWMVS5</t>
  </si>
  <si>
    <t xml:space="preserve">Bortyra 2mg Injection</t>
  </si>
  <si>
    <t xml:space="preserve">80a37dab-76e8-436f-9a4d-bfce6d1a8d44</t>
  </si>
  <si>
    <t xml:space="preserve">PRD-MUNXGUPC</t>
  </si>
  <si>
    <t xml:space="preserve">Capyra 500mg Tablet</t>
  </si>
  <si>
    <t xml:space="preserve">Capecitabine 500mg</t>
  </si>
  <si>
    <t xml:space="preserve">Chemotherapy - Antimetabolites</t>
  </si>
  <si>
    <t xml:space="preserve">8f5e2537-f910-4fe8-877c-8ab7e387c065</t>
  </si>
  <si>
    <t xml:space="preserve">PRD-MTHVBZ4J178</t>
  </si>
  <si>
    <t xml:space="preserve">Carbozest 150mg Injection</t>
  </si>
  <si>
    <t xml:space="preserve">Zee Laboratories Ltd(India)</t>
  </si>
  <si>
    <t xml:space="preserve">Carboplatin 150mg</t>
  </si>
  <si>
    <t xml:space="preserve">Chemotherapy - Platinum Agents</t>
  </si>
  <si>
    <t xml:space="preserve">4a64cd50-9b03-480e-9bf4-90ab3c3552a2</t>
  </si>
  <si>
    <t xml:space="preserve">PRD-MTHVC23F179</t>
  </si>
  <si>
    <t xml:space="preserve">Carbozest 450mg Injection</t>
  </si>
  <si>
    <t xml:space="preserve">Carboplatin 450mg</t>
  </si>
  <si>
    <t xml:space="preserve">b06b7933-4b6c-40b3-a3da-8d802ecdec13</t>
  </si>
  <si>
    <t xml:space="preserve">PRD-MTHUWQB06</t>
  </si>
  <si>
    <t xml:space="preserve">Ctx-Gls 1gm Powder For Injection Vial</t>
  </si>
  <si>
    <t xml:space="preserve">Gls Pharma Limited(India)</t>
  </si>
  <si>
    <t xml:space="preserve">Cyclophosphamide 1gm</t>
  </si>
  <si>
    <t xml:space="preserve">Chemotherapy - Alkylating Agents</t>
  </si>
  <si>
    <t xml:space="preserve">73c1cff1-5030-46c6-8802-bfdb3d9b29c2</t>
  </si>
  <si>
    <t xml:space="preserve">PRD-MTHUWTCI7</t>
  </si>
  <si>
    <t xml:space="preserve">Ctx-Gls 500gm Powder For Injection Vial</t>
  </si>
  <si>
    <t xml:space="preserve">Cyclophosphamide 500mg</t>
  </si>
  <si>
    <t xml:space="preserve">15bef851-f142-4a9e-83eb-def21a9807fe</t>
  </si>
  <si>
    <t xml:space="preserve">PRD-3137</t>
  </si>
  <si>
    <t xml:space="preserve">Dacilon 0.5mg Innjection</t>
  </si>
  <si>
    <t xml:space="preserve">CELON LABORATORIES PVT LTD</t>
  </si>
  <si>
    <t xml:space="preserve">DACTINOMYCINE 0.5MG</t>
  </si>
  <si>
    <t xml:space="preserve">fc9d0dd7-ebc9-4b6c-a4fe-3d5aadb4570c</t>
  </si>
  <si>
    <t xml:space="preserve">PRD-MUXWH18W</t>
  </si>
  <si>
    <t xml:space="preserve">Docemyra 80mg Injection</t>
  </si>
  <si>
    <t xml:space="preserve">Docetaxel 80mg</t>
  </si>
  <si>
    <t xml:space="preserve">10998c54-139a-4b59-aa0e-4d17a99b24cb</t>
  </si>
  <si>
    <t xml:space="preserve">PRD-MTHVC881181</t>
  </si>
  <si>
    <t xml:space="preserve">Docetero 120mg Injection</t>
  </si>
  <si>
    <t xml:space="preserve">Docetaxel 120mg</t>
  </si>
  <si>
    <t xml:space="preserve">Chemotherapy - Taxanes</t>
  </si>
  <si>
    <t xml:space="preserve">0788bda2-3e7b-4b6e-8e8e-587c2cd4ef45</t>
  </si>
  <si>
    <t xml:space="preserve">PRD-MTHVCAZ2182</t>
  </si>
  <si>
    <t xml:space="preserve">Docetero 20mg Injection</t>
  </si>
  <si>
    <t xml:space="preserve">Docetaxel 20mg</t>
  </si>
  <si>
    <t xml:space="preserve">6717e5aa-752a-47ba-bb82-c8a8cfed3949</t>
  </si>
  <si>
    <t xml:space="preserve">PRD-MTHVCDXB183</t>
  </si>
  <si>
    <t xml:space="preserve">Docetero 80mg Injection</t>
  </si>
  <si>
    <t xml:space="preserve">2963b0b9-7612-4b16-9b28-4fc2e0f8a71b</t>
  </si>
  <si>
    <t xml:space="preserve">PRD-MTHVE5R9205</t>
  </si>
  <si>
    <t xml:space="preserve">Femistra 1mg Tablet</t>
  </si>
  <si>
    <t xml:space="preserve">Zydus Lifesciences Ltd(India)</t>
  </si>
  <si>
    <t xml:space="preserve">26fbf7c7-cf94-40bc-972f-2d359b2fcc58</t>
  </si>
  <si>
    <t xml:space="preserve">PRD-1269</t>
  </si>
  <si>
    <t xml:space="preserve">Flumyra 500mg Injection</t>
  </si>
  <si>
    <t xml:space="preserve">5-Fluorouracil 500mg</t>
  </si>
  <si>
    <t xml:space="preserve">Chemotherapy-Antimetabolite</t>
  </si>
  <si>
    <t xml:space="preserve">No price yet (no purchase cost); Out of stock</t>
  </si>
  <si>
    <t xml:space="preserve">85f17831-994d-465a-ac32-faae4c7c439f</t>
  </si>
  <si>
    <t xml:space="preserve">PRD-4448</t>
  </si>
  <si>
    <t xml:space="preserve">Fluromyra 500mg Injection</t>
  </si>
  <si>
    <t xml:space="preserve">817b8306-21ea-4de0-8e7d-7805ace545d3</t>
  </si>
  <si>
    <t xml:space="preserve">PRD-4581</t>
  </si>
  <si>
    <t xml:space="preserve">Gemtyra-rtu-1gm Injection</t>
  </si>
  <si>
    <t xml:space="preserve">Gemecitabine 1gm</t>
  </si>
  <si>
    <t xml:space="preserve">43526fbc-c399-4b60-979d-e95d3fff6f3a</t>
  </si>
  <si>
    <t xml:space="preserve">PRD-MV3J7BI0</t>
  </si>
  <si>
    <t xml:space="preserve">Glenza 160mg Tablet</t>
  </si>
  <si>
    <t xml:space="preserve">Enzalutamide 160mg</t>
  </si>
  <si>
    <t xml:space="preserve">3daac55a-6293-46d4-8ed3-263e4d208f2c</t>
  </si>
  <si>
    <t xml:space="preserve">PRD-MTHUXJLX14</t>
  </si>
  <si>
    <t xml:space="preserve">Goserdn 10.8mg Injection</t>
  </si>
  <si>
    <t xml:space="preserve">Biozenta Lifescience</t>
  </si>
  <si>
    <t xml:space="preserve">Goserline 10.8mg</t>
  </si>
  <si>
    <t xml:space="preserve">b5180917-c868-4198-8970-66f3f42ca39b</t>
  </si>
  <si>
    <t xml:space="preserve">PRD-MTHVB0P9166</t>
  </si>
  <si>
    <t xml:space="preserve">Hydrogest 500mg Capsule</t>
  </si>
  <si>
    <t xml:space="preserve">Hydroxyurea 500mg</t>
  </si>
  <si>
    <t xml:space="preserve">09cff332-8535-4241-ad54-56b3871ff27a</t>
  </si>
  <si>
    <t xml:space="preserve">PRD-7235</t>
  </si>
  <si>
    <t xml:space="preserve">Letroday 2.5mg Tablet</t>
  </si>
  <si>
    <t xml:space="preserve">Letrozole 2.5mg</t>
  </si>
  <si>
    <t xml:space="preserve">05c9b5ff-69c0-416b-8e9d-c89bc0c4ba63</t>
  </si>
  <si>
    <t xml:space="preserve">PRD-4798</t>
  </si>
  <si>
    <t xml:space="preserve">Leucorin 10mg/ml 5ml Inejction</t>
  </si>
  <si>
    <t xml:space="preserve">Leucovorin 10mg/ml</t>
  </si>
  <si>
    <t xml:space="preserve">Chemoprotective Agent</t>
  </si>
  <si>
    <t xml:space="preserve">d0c65102-33c3-4991-b955-e7a07ce4c0ab</t>
  </si>
  <si>
    <t xml:space="preserve">PRD-MTHV3WMW82</t>
  </si>
  <si>
    <t xml:space="preserve">Leuprodex 3.75mg Depot Injection</t>
  </si>
  <si>
    <t xml:space="preserve">Leuprolide Acetate 3.75mg</t>
  </si>
  <si>
    <t xml:space="preserve">0346bcb1-467a-4330-80d5-d57805b9a20f</t>
  </si>
  <si>
    <t xml:space="preserve">PRD-4280</t>
  </si>
  <si>
    <t xml:space="preserve">Luprodex 11.25mg Injection</t>
  </si>
  <si>
    <t xml:space="preserve">Leuprolide 11.25mg</t>
  </si>
  <si>
    <t xml:space="preserve">444fd00a-78c6-45e0-8432-30fcfb6d7fe4</t>
  </si>
  <si>
    <t xml:space="preserve">PRD-MUXWFRO9</t>
  </si>
  <si>
    <t xml:space="preserve">Lycorva 50mg Injection</t>
  </si>
  <si>
    <t xml:space="preserve">ce6d50ca-7a58-4a79-99dd-d16aa84acabf</t>
  </si>
  <si>
    <t xml:space="preserve">PRD-MV3IRV70</t>
  </si>
  <si>
    <t xml:space="preserve">Makmide 1gm Injection</t>
  </si>
  <si>
    <t xml:space="preserve">Biomak Laboratories(INDIA)</t>
  </si>
  <si>
    <t xml:space="preserve">Ifosfamide 1gm</t>
  </si>
  <si>
    <t xml:space="preserve">f92cea30-b7ff-4e9a-aae3-30a3160a04bf</t>
  </si>
  <si>
    <t xml:space="preserve">PRD-4204</t>
  </si>
  <si>
    <t xml:space="preserve">Oxa 100mg Injection</t>
  </si>
  <si>
    <t xml:space="preserve">Oxaliplatin 100mg</t>
  </si>
  <si>
    <t xml:space="preserve">c58f034d-75f8-40b6-998a-fe176716d76d</t>
  </si>
  <si>
    <t xml:space="preserve">PRD-MTHVC51H180</t>
  </si>
  <si>
    <t xml:space="preserve">Oxa 50mg Injection</t>
  </si>
  <si>
    <t xml:space="preserve">Oxaliplatin 50mg</t>
  </si>
  <si>
    <t xml:space="preserve">d2ec8944-3a32-4ccd-a412-ea2108229dd6</t>
  </si>
  <si>
    <t xml:space="preserve">PRD-5325</t>
  </si>
  <si>
    <t xml:space="preserve">Oxalyra 100mg Injection</t>
  </si>
  <si>
    <t xml:space="preserve">13d2ef9a-efea-4b12-a8e6-293aae49de69</t>
  </si>
  <si>
    <t xml:space="preserve">PRD-0171</t>
  </si>
  <si>
    <t xml:space="preserve">Pacshil 300mg Injection</t>
  </si>
  <si>
    <t xml:space="preserve">Shilpa Medicare Ltd</t>
  </si>
  <si>
    <t xml:space="preserve">Paclitaxel 300mg</t>
  </si>
  <si>
    <t xml:space="preserve">609b9f74-391d-462d-ae79-ccabc310eae3</t>
  </si>
  <si>
    <t xml:space="preserve">PRD-MTHVB3MA167</t>
  </si>
  <si>
    <t xml:space="preserve">Riborea 500mg Capsule</t>
  </si>
  <si>
    <t xml:space="preserve">dd48e046-2c24-4d47-b140-9988072ff594</t>
  </si>
  <si>
    <t xml:space="preserve">PRD-5987</t>
  </si>
  <si>
    <t xml:space="preserve">Rituxirel 500mg Injection</t>
  </si>
  <si>
    <t xml:space="preserve">RITUXIMAB 500MG</t>
  </si>
  <si>
    <t xml:space="preserve">5c4b45c5-9d0e-43a1-ae59-6332aba45b01</t>
  </si>
  <si>
    <t xml:space="preserve">PRD-9368</t>
  </si>
  <si>
    <t xml:space="preserve">Taxyra 300mg Injection</t>
  </si>
  <si>
    <t xml:space="preserve">62d5c8c4-ef58-4dd0-9284-ebdfa9278aee</t>
  </si>
  <si>
    <t xml:space="preserve">PRD-MTHVNOF5319</t>
  </si>
  <si>
    <t xml:space="preserve">Trasturel 150mg Injection</t>
  </si>
  <si>
    <t xml:space="preserve">Trastuzumab 150mg Injection</t>
  </si>
  <si>
    <t xml:space="preserve">Chemotherapy - Monoclonal Antibodies</t>
  </si>
  <si>
    <t xml:space="preserve">6e6484b2-914d-4dad-8c72-d5b522397986</t>
  </si>
  <si>
    <t xml:space="preserve">PRD-8009</t>
  </si>
  <si>
    <t xml:space="preserve">Trasturel 440mg Injection</t>
  </si>
  <si>
    <t xml:space="preserve">Trastuzumab 440mg</t>
  </si>
  <si>
    <t xml:space="preserve">35766d3c-37e8-4906-8937-931efef2a07e</t>
  </si>
  <si>
    <t xml:space="preserve">PRD-NHIMASEP03</t>
  </si>
  <si>
    <t xml:space="preserve">ZOLDRIC 4MG INJECTION</t>
  </si>
  <si>
    <t xml:space="preserve">ZOLEDRONIC ACID 4MG</t>
  </si>
  <si>
    <t xml:space="preserve">e862ff6e-7ee6-45a2-9a3f-0f00aa1d2e51</t>
  </si>
  <si>
    <t xml:space="preserve">PRD-0731</t>
  </si>
  <si>
    <t xml:space="preserve">Asthamol 4mg Tablet</t>
  </si>
  <si>
    <t xml:space="preserve">Salbutamol 4mg</t>
  </si>
  <si>
    <t xml:space="preserve">Bronchodilators</t>
  </si>
  <si>
    <t xml:space="preserve">respiratory_and_allergy</t>
  </si>
  <si>
    <t xml:space="preserve">Contains salbutamol</t>
  </si>
  <si>
    <t xml:space="preserve">ef108495-5f04-4ae6-9121-810fcb85ec72</t>
  </si>
  <si>
    <t xml:space="preserve">PRD-8164</t>
  </si>
  <si>
    <t xml:space="preserve">Beclomin 100mcg/puff Inhaler</t>
  </si>
  <si>
    <t xml:space="preserve">Beclomethasone 100mcg/puff</t>
  </si>
  <si>
    <t xml:space="preserve">Asthma &amp; COPD Inhalers</t>
  </si>
  <si>
    <t xml:space="preserve">3af5b472-6a40-479a-99ad-3453f9d95480</t>
  </si>
  <si>
    <t xml:space="preserve">PRD-2001</t>
  </si>
  <si>
    <t xml:space="preserve">Flutiair 0.05% Nasal Spray</t>
  </si>
  <si>
    <t xml:space="preserve">SAVA HEALTHCARE LIMITED</t>
  </si>
  <si>
    <t xml:space="preserve">FLUTICASONE 0.05% W/V</t>
  </si>
  <si>
    <t xml:space="preserve">Nasal Corticosteroids</t>
  </si>
  <si>
    <t xml:space="preserve">d0ed994f-64c4-4990-83a9-3f464e909b9a</t>
  </si>
  <si>
    <t xml:space="preserve">PRD-MTHV461785</t>
  </si>
  <si>
    <t xml:space="preserve">Foracort 206mcg 120 Metered Dose Inahaler</t>
  </si>
  <si>
    <t xml:space="preserve">Formetrol Fumarate 6mcg+Budenoside 200mcg/Each Actuation</t>
  </si>
  <si>
    <t xml:space="preserve">82aa8220-f704-4754-b9a7-ee1d0d9730f1</t>
  </si>
  <si>
    <t xml:space="preserve">PRD-MUNW68Z7</t>
  </si>
  <si>
    <t xml:space="preserve">Kofarest 100ml Syrup</t>
  </si>
  <si>
    <t xml:space="preserve">Salbutamol 1mg+ambroxol 15mg+guaifenesin 50mg/5ml</t>
  </si>
  <si>
    <t xml:space="preserve">3409ba98-349e-467c-af31-ac8f4a12136a</t>
  </si>
  <si>
    <t xml:space="preserve">PRD-MTHVN29O312</t>
  </si>
  <si>
    <t xml:space="preserve">L Montus 15mg Tablet</t>
  </si>
  <si>
    <t xml:space="preserve">Levocetirizine Hydrochloride 5mg+Montelukast Sodium 10mg</t>
  </si>
  <si>
    <t xml:space="preserve">Allergy &amp; Asthma Combinations</t>
  </si>
  <si>
    <t xml:space="preserve">4e4c10b0-656c-445d-991b-7f842cb73244</t>
  </si>
  <si>
    <t xml:space="preserve">PRD-9596</t>
  </si>
  <si>
    <t xml:space="preserve">Momate Az 150metered Dose Nasal Spray</t>
  </si>
  <si>
    <t xml:space="preserve">Mometasone Furoate 50MCG+AZELASTINE 140MCG/SPRAY</t>
  </si>
  <si>
    <t xml:space="preserve">Nasal Combinations</t>
  </si>
  <si>
    <t xml:space="preserve">2e375c24-928b-4dd3-87aa-f241eea6060a</t>
  </si>
  <si>
    <t xml:space="preserve">PRD-3842</t>
  </si>
  <si>
    <t xml:space="preserve">Salbucort 100mcg 200 Doses Inhaler</t>
  </si>
  <si>
    <t xml:space="preserve">Salbutamol 100mcg/puff</t>
  </si>
  <si>
    <t xml:space="preserve">41e746d3-7516-4a27-b8ac-a917ae70deb4</t>
  </si>
  <si>
    <t xml:space="preserve">PRD-3962</t>
  </si>
  <si>
    <t xml:space="preserve">Serocort Sb 25/125mcg Inhaler</t>
  </si>
  <si>
    <t xml:space="preserve">Fluticasone 125mcg+salmetrol 25mcg</t>
  </si>
  <si>
    <t xml:space="preserve">385be6bf-bd24-4019-bd0a-f54d6480490b</t>
  </si>
  <si>
    <t xml:space="preserve">PRD-1949</t>
  </si>
  <si>
    <t xml:space="preserve">Sultolin 100mcg/puff Inhaler</t>
  </si>
  <si>
    <t xml:space="preserve">cb50f182-4948-4985-9640-3fb1976a6294</t>
  </si>
  <si>
    <t xml:space="preserve">PRD-MTHV8I0G136</t>
  </si>
  <si>
    <t xml:space="preserve">Contiflo Od 0.4mg Capsule</t>
  </si>
  <si>
    <t xml:space="preserve">Tamsulosin 0.4mg</t>
  </si>
  <si>
    <t xml:space="preserve">Genitourinary &amp; Reproductive Health(Oral Solid)</t>
  </si>
  <si>
    <t xml:space="preserve">BPH Treatment</t>
  </si>
  <si>
    <t xml:space="preserve">urology_and_reproductive_health</t>
  </si>
  <si>
    <t xml:space="preserve">2c56df24-1fc2-46db-9974-c295f92fb013</t>
  </si>
  <si>
    <t xml:space="preserve">PRD-9914</t>
  </si>
  <si>
    <t xml:space="preserve">Dutabit 0.5mg Capsule</t>
  </si>
  <si>
    <t xml:space="preserve">Dutasteride 0.5mg</t>
  </si>
  <si>
    <t xml:space="preserve">3372687e-137a-4c07-a991-e9277858b4f8</t>
  </si>
  <si>
    <t xml:space="preserve">PRD-2848</t>
  </si>
  <si>
    <t xml:space="preserve">Finagen 5mg Tablet</t>
  </si>
  <si>
    <t xml:space="preserve">Finesteride 5mg</t>
  </si>
  <si>
    <t xml:space="preserve">59e5760e-7a6d-435c-9cc7-fbbed31e443a</t>
  </si>
  <si>
    <t xml:space="preserve">PRD-MTHV1Y8159</t>
  </si>
  <si>
    <t xml:space="preserve">Goab 10mg Tablet</t>
  </si>
  <si>
    <t xml:space="preserve">Annora Pharma Private Limited(India)</t>
  </si>
  <si>
    <t xml:space="preserve">Solfenacin 10mg</t>
  </si>
  <si>
    <t xml:space="preserve">Overactive Bladder</t>
  </si>
  <si>
    <t xml:space="preserve">2d43a028-e2ff-4c29-a11d-8aba6593aabd</t>
  </si>
  <si>
    <t xml:space="preserve">PRD-MTHV214260</t>
  </si>
  <si>
    <t xml:space="preserve">Goab 5mg Tablet</t>
  </si>
  <si>
    <t xml:space="preserve">Solifenacin 5mg</t>
  </si>
  <si>
    <t xml:space="preserve">8894dc54-b96e-4fdd-8057-a7c5244855d1</t>
  </si>
  <si>
    <t xml:space="preserve">PRD-9811</t>
  </si>
  <si>
    <t xml:space="preserve">Hormorin 200mg Capsule</t>
  </si>
  <si>
    <t xml:space="preserve">PROGESTERONE 200MG</t>
  </si>
  <si>
    <t xml:space="preserve">Progestins</t>
  </si>
  <si>
    <t xml:space="preserve">9306ee5d-e62d-40dd-8d6e-1b1878b1069b</t>
  </si>
  <si>
    <t xml:space="preserve">PRD-8703</t>
  </si>
  <si>
    <t xml:space="preserve">Knor 5mg Tablet</t>
  </si>
  <si>
    <t xml:space="preserve">NORETHISTERONE 5MG</t>
  </si>
  <si>
    <t xml:space="preserve">6c6eb693-b7cf-4b12-b333-a842f64f148f</t>
  </si>
  <si>
    <t xml:space="preserve">PRD-7161</t>
  </si>
  <si>
    <t xml:space="preserve">Od-Tam 0.4mg Capsuel</t>
  </si>
  <si>
    <t xml:space="preserve">bd302f79-51e7-4dca-9e39-d0054966ac83</t>
  </si>
  <si>
    <t xml:space="preserve">PRD-8261</t>
  </si>
  <si>
    <t xml:space="preserve">Pentra 50mg Tablet</t>
  </si>
  <si>
    <t xml:space="preserve">SILDENAFIL 50MG</t>
  </si>
  <si>
    <t xml:space="preserve">Erectile Dysfunction</t>
  </si>
  <si>
    <t xml:space="preserve">622f62ec-04f6-4271-9288-068f53c5e10a</t>
  </si>
  <si>
    <t xml:space="preserve">PRD-5606</t>
  </si>
  <si>
    <t xml:space="preserve">Silomeg 8mg Capsule</t>
  </si>
  <si>
    <t xml:space="preserve">Silodosin 8mg</t>
  </si>
  <si>
    <t xml:space="preserve">eefb2160-36c6-40fb-9e49-6e48b61f6e11</t>
  </si>
  <si>
    <t xml:space="preserve">PRD-MTHV35JL73</t>
  </si>
  <si>
    <t xml:space="preserve">Silotrif 8mg Tablet</t>
  </si>
  <si>
    <t xml:space="preserve">388a3e1b-d317-464a-9c62-811b5f25e4bc</t>
  </si>
  <si>
    <t xml:space="preserve">PRD-MV3JIY5G</t>
  </si>
  <si>
    <t xml:space="preserve">Testenate Depot 250mg Injection</t>
  </si>
  <si>
    <t xml:space="preserve">Searle India Ltd</t>
  </si>
  <si>
    <t xml:space="preserve">Testosterone 250mg</t>
  </si>
  <si>
    <t xml:space="preserve">2c343e79-25fa-493c-b1a8-1613a1fa7137</t>
  </si>
  <si>
    <t xml:space="preserve">PRD-3836</t>
  </si>
  <si>
    <t xml:space="preserve">Tranacad 500mg Tablet</t>
  </si>
  <si>
    <t xml:space="preserve">Roussel Laboratories Private Limited(india)</t>
  </si>
  <si>
    <t xml:space="preserve">Tranexamic Acid 500mg</t>
  </si>
  <si>
    <t xml:space="preserve">e653b7e3-9584-41b5-acab-9d4b2a6bf3c0</t>
  </si>
  <si>
    <t xml:space="preserve">PRD-9942</t>
  </si>
  <si>
    <t xml:space="preserve">Tranemax 500mg Tablet</t>
  </si>
  <si>
    <t xml:space="preserve">28658928-caf6-461c-a9c1-4921330d705c</t>
  </si>
  <si>
    <t xml:space="preserve">PRD-0822</t>
  </si>
  <si>
    <t xml:space="preserve">Abhay-tox 0.5ml Vaccine</t>
  </si>
  <si>
    <t xml:space="preserve">Human Biologicals Institute(India)</t>
  </si>
  <si>
    <t xml:space="preserve">Tetanus Toxoid</t>
  </si>
  <si>
    <t xml:space="preserve">Vaccine</t>
  </si>
  <si>
    <t xml:space="preserve">Vaccines &amp; Biologicals</t>
  </si>
  <si>
    <t xml:space="preserve">Vaccines</t>
  </si>
  <si>
    <t xml:space="preserve">vaccines_and_biologicals</t>
  </si>
  <si>
    <t xml:space="preserve">c517a52b-1c40-4962-970a-e1071f3e4df9</t>
  </si>
  <si>
    <t xml:space="preserve">PRD-MTHV2YRR71</t>
  </si>
  <si>
    <t xml:space="preserve">Abhayrab Vaccine With 0.5ml Diluent</t>
  </si>
  <si>
    <t xml:space="preserve">Anti-Rabbies Vaccine</t>
  </si>
  <si>
    <t xml:space="preserve">363b34c0-0a1b-40f2-9b5a-d190d0963b09</t>
  </si>
  <si>
    <t xml:space="preserve">PRD-MUFBQJ4P</t>
  </si>
  <si>
    <t xml:space="preserve">Alburel 20% 100ml Infusion</t>
  </si>
  <si>
    <t xml:space="preserve">Human Albumin 20gm</t>
  </si>
  <si>
    <t xml:space="preserve">Immunoglobulin</t>
  </si>
  <si>
    <t xml:space="preserve">777f6d2c-f4b2-4f5a-a8e2-577ec95c3751</t>
  </si>
  <si>
    <t xml:space="preserve">PRD-9165</t>
  </si>
  <si>
    <t xml:space="preserve">Immunorel 5g 100ml Infusion</t>
  </si>
  <si>
    <t xml:space="preserve">Immunoglobulin 5gm</t>
  </si>
  <si>
    <t xml:space="preserve">1a0fe96f-4350-4993-90b3-2a87d63276f3</t>
  </si>
  <si>
    <t xml:space="preserve">PRD-4344</t>
  </si>
  <si>
    <t xml:space="preserve">Indirab 0.5ml Vaccine</t>
  </si>
  <si>
    <t xml:space="preserve">6d46ffbf-e6d6-46fb-808c-b6228309f56c</t>
  </si>
  <si>
    <t xml:space="preserve">PRD-MTHUZ6EI31</t>
  </si>
  <si>
    <t xml:space="preserve">Tetanus Toxoid 0.5ml Vaccine(Bsv)</t>
  </si>
  <si>
    <t xml:space="preserve">b212bf49-8ce6-4751-8281-b7dd2877ce80</t>
  </si>
  <si>
    <t xml:space="preserve">PRD-MTHV2VS870</t>
  </si>
  <si>
    <t xml:space="preserve">Go Stain 750ml House Hold Bleach</t>
  </si>
  <si>
    <t xml:space="preserve">International Drug Co Ltd</t>
  </si>
  <si>
    <t xml:space="preserve">Sodium Hypochloride 3.5% W/V</t>
  </si>
  <si>
    <t xml:space="preserve">surgicals</t>
  </si>
  <si>
    <t xml:space="preserve">consumables_and_hygiene</t>
  </si>
  <si>
    <t xml:space="preserve">disinfectants_and_hygiene</t>
  </si>
  <si>
    <t xml:space="preserve">aac817de-4345-4be8-809a-50ffe9311eb8</t>
  </si>
  <si>
    <t xml:space="preserve">PRD-MTHVNS5G320</t>
  </si>
  <si>
    <t xml:space="preserve">Yebo 150gm Soap</t>
  </si>
  <si>
    <t xml:space="preserve">Trade King Limited</t>
  </si>
  <si>
    <t xml:space="preserve">Toilet Soap</t>
  </si>
  <si>
    <t xml:space="preserve">Personal Hygiene</t>
  </si>
  <si>
    <t xml:space="preserve">f3ff8518-cded-4dd2-8eb1-ec9b78dedc26</t>
  </si>
  <si>
    <t xml:space="preserve">PRD-MPACK-CLAMP</t>
  </si>
  <si>
    <t xml:space="preserve">Cord Clamp</t>
  </si>
  <si>
    <t xml:space="preserve">-</t>
  </si>
  <si>
    <t xml:space="preserve">Maternity Supplies</t>
  </si>
  <si>
    <t xml:space="preserve">maternity_supplies</t>
  </si>
  <si>
    <t xml:space="preserve">8df947a9-f966-41c1-a562-2804fde9c004</t>
  </si>
  <si>
    <t xml:space="preserve">PRD-MPACK-MATPAD</t>
  </si>
  <si>
    <t xml:space="preserve">Dr White Maternity Pad</t>
  </si>
  <si>
    <t xml:space="preserve">Dr White</t>
  </si>
  <si>
    <t xml:space="preserve">Maternity Pad</t>
  </si>
  <si>
    <t xml:space="preserve">d003015a-cc2d-43df-8c4b-742f8e049bb1</t>
  </si>
  <si>
    <t xml:space="preserve">PRD-MPACK-INCONT</t>
  </si>
  <si>
    <t xml:space="preserve">Incontinent Sheet Each</t>
  </si>
  <si>
    <t xml:space="preserve">Incontinent Sheet</t>
  </si>
  <si>
    <t xml:space="preserve">9ed2ce7a-8b1d-47f6-a3b1-8cb265d5074f</t>
  </si>
  <si>
    <t xml:space="preserve">PRD-MPACK-BUNDLE</t>
  </si>
  <si>
    <t xml:space="preserve">Maternity Pack</t>
  </si>
  <si>
    <t xml:space="preserve">Maternity Pack (Bundle)</t>
  </si>
  <si>
    <t xml:space="preserve">Bundle - no price of its own, cannot go live as is</t>
  </si>
  <si>
    <t xml:space="preserve">cc2bed8f-05ab-422f-ad0d-06ac7d2d3728</t>
  </si>
  <si>
    <t xml:space="preserve">PRD-2302</t>
  </si>
  <si>
    <t xml:space="preserve">Examination Gloves Pair</t>
  </si>
  <si>
    <t xml:space="preserve">Brohks Aneta Limited</t>
  </si>
  <si>
    <t xml:space="preserve">Examination Gloves</t>
  </si>
  <si>
    <t xml:space="preserve">Surgical Instruments</t>
  </si>
  <si>
    <t xml:space="preserve">Gloves</t>
  </si>
  <si>
    <t xml:space="preserve">ppe_and_gloves</t>
  </si>
  <si>
    <t xml:space="preserve">77d403e2-a0e4-4749-81e6-5c3ccbf10815</t>
  </si>
  <si>
    <t xml:space="preserve">PRD-MTHV6XIF117</t>
  </si>
  <si>
    <t xml:space="preserve">Face Mask 3ply</t>
  </si>
  <si>
    <t xml:space="preserve">Mask</t>
  </si>
  <si>
    <t xml:space="preserve">PPE &amp; Masks</t>
  </si>
  <si>
    <t xml:space="preserve">85bf6bdf-92f8-4eef-b922-58e76e0dce71</t>
  </si>
  <si>
    <t xml:space="preserve">PRD-MPACK-GLOVES</t>
  </si>
  <si>
    <t xml:space="preserve">Surgical Gloves</t>
  </si>
  <si>
    <t xml:space="preserve">e70fbf38-f26d-4391-8f90-16a7138ab62e</t>
  </si>
  <si>
    <t xml:space="preserve">PRD-9655</t>
  </si>
  <si>
    <t xml:space="preserve">Insulin Syringe</t>
  </si>
  <si>
    <t xml:space="preserve">Insulin Syringe &amp; Needle</t>
  </si>
  <si>
    <t xml:space="preserve">Syringes</t>
  </si>
  <si>
    <t xml:space="preserve">syringes_and_catheters</t>
  </si>
  <si>
    <t xml:space="preserve">dc6b558a-ff2f-416a-a738-cf56b6598ff6</t>
  </si>
  <si>
    <t xml:space="preserve">PRD-9322</t>
  </si>
  <si>
    <t xml:space="preserve">Pigtail Torocar Set Size 16</t>
  </si>
  <si>
    <t xml:space="preserve">MEDITECH DEVICES PVT LTD</t>
  </si>
  <si>
    <t xml:space="preserve">PIGTAIL TROCAR SET</t>
  </si>
  <si>
    <t xml:space="preserve">Urinary Catheters</t>
  </si>
  <si>
    <t xml:space="preserve">01d25a8f-6304-43fc-b5ee-8f5fb6aae62d</t>
  </si>
  <si>
    <t xml:space="preserve">PRD-MTHV8KKT137</t>
  </si>
  <si>
    <t xml:space="preserve">Cotton Wool 500gm</t>
  </si>
  <si>
    <t xml:space="preserve">Cotton Wool</t>
  </si>
  <si>
    <t xml:space="preserve">Wound Care Consumables</t>
  </si>
  <si>
    <t xml:space="preserve">wound_care</t>
  </si>
  <si>
    <t xml:space="preserve">2dc50ebc-c0bc-4582-8cf8-b3a9f6852e79</t>
  </si>
  <si>
    <t xml:space="preserve">PRD-MTHUXNUF15</t>
  </si>
  <si>
    <t xml:space="preserve">Crepe Bandage 10cm</t>
  </si>
  <si>
    <t xml:space="preserve">Crepe Bandage</t>
  </si>
  <si>
    <t xml:space="preserve">4072f10e-3ad5-47d0-9c9b-d2c384df1cd9</t>
  </si>
  <si>
    <t xml:space="preserve">PRD-MTHUXQPA16</t>
  </si>
  <si>
    <t xml:space="preserve">Crepe Bandage 15cm</t>
  </si>
  <si>
    <t xml:space="preserve">77dbdcdd-b2f9-40a4-8d9f-e5209503ca5e</t>
  </si>
  <si>
    <t xml:space="preserve">PRD-MTHUZNH436</t>
  </si>
  <si>
    <t xml:space="preserve">Abdominal Binder(Oppo) Xxl</t>
  </si>
  <si>
    <t xml:space="preserve">Oppo Medical Inc.(Usa)</t>
  </si>
  <si>
    <t xml:space="preserve">Abdominal Binder</t>
  </si>
  <si>
    <t xml:space="preserve">Support/Brace</t>
  </si>
  <si>
    <t xml:space="preserve">Orthopaedic Supports &amp; Wound Care</t>
  </si>
  <si>
    <t xml:space="preserve">Braces &amp; Supports</t>
  </si>
  <si>
    <t xml:space="preserve">orthopaedic_supports</t>
  </si>
  <si>
    <t xml:space="preserve">braces_and_supports</t>
  </si>
  <si>
    <t xml:space="preserve">0f8d4330-75e2-4a52-be8c-e90344ea4eb4</t>
  </si>
  <si>
    <t xml:space="preserve">PRD-6ABCCBA71</t>
  </si>
  <si>
    <t xml:space="preserve">Arm Pouch/Sling OAC Tynor S</t>
  </si>
  <si>
    <t xml:space="preserve">Tynor</t>
  </si>
  <si>
    <t xml:space="preserve">Arm Support</t>
  </si>
  <si>
    <t xml:space="preserve">1446eec2-ae53-469e-bf65-8a6022e84c2d</t>
  </si>
  <si>
    <t xml:space="preserve">PRD-3874</t>
  </si>
  <si>
    <t xml:space="preserve">Arm Sling(0820) Vissco L</t>
  </si>
  <si>
    <t xml:space="preserve">Vissco Rehabilation Aids Pvt. Ltd.</t>
  </si>
  <si>
    <t xml:space="preserve">4908a1ef-6bbd-4bcb-9da5-b4e5a5dd70f1</t>
  </si>
  <si>
    <t xml:space="preserve">PRD-5338</t>
  </si>
  <si>
    <t xml:space="preserve">Arm Sling(0820) Vissco M</t>
  </si>
  <si>
    <t xml:space="preserve">d89a1d22-9af2-4008-9fc5-a4ae2efa9579</t>
  </si>
  <si>
    <t xml:space="preserve">PRD-6489</t>
  </si>
  <si>
    <t xml:space="preserve">Arm Sling(0820) Vissco S</t>
  </si>
  <si>
    <t xml:space="preserve">0d2256d6-f219-4b54-b5be-074b4829f68c</t>
  </si>
  <si>
    <t xml:space="preserve">PRD-2903</t>
  </si>
  <si>
    <t xml:space="preserve">Arm Sling(0820) Vissco Xl</t>
  </si>
  <si>
    <t xml:space="preserve">8e0c4ac0-4b55-4264-839c-96f87e5a3f5b</t>
  </si>
  <si>
    <t xml:space="preserve">PRD-0968</t>
  </si>
  <si>
    <t xml:space="preserve">Arm Sling(3087) Oppo S</t>
  </si>
  <si>
    <t xml:space="preserve">994ffb4a-d14a-4271-b2eb-bb67981391b8</t>
  </si>
  <si>
    <t xml:space="preserve">PRD-6054</t>
  </si>
  <si>
    <t xml:space="preserve">Arm Sling(3087) Oppo Xl</t>
  </si>
  <si>
    <t xml:space="preserve">5c83f311-85f1-48cd-af10-76cff3ba2aa0</t>
  </si>
  <si>
    <t xml:space="preserve">PRD-4466</t>
  </si>
  <si>
    <t xml:space="preserve">Auxilliary Crutches Pair</t>
  </si>
  <si>
    <t xml:space="preserve">Brace</t>
  </si>
  <si>
    <t xml:space="preserve">2381c892-97e7-4e55-9cbc-f7731b8b22cc</t>
  </si>
  <si>
    <t xml:space="preserve">PRD-6ABCCBA711</t>
  </si>
  <si>
    <t xml:space="preserve">Baseball Finger Splint 0610 Vissco</t>
  </si>
  <si>
    <t xml:space="preserve">Finger Splint</t>
  </si>
  <si>
    <t xml:space="preserve">c0ff82b0-989b-42a7-84bd-27672a5a40bb</t>
  </si>
  <si>
    <t xml:space="preserve">PRD-2804</t>
  </si>
  <si>
    <t xml:space="preserve">Cervical Collar-soft(0304)-vissco Xxl</t>
  </si>
  <si>
    <t xml:space="preserve">Cervical Collar</t>
  </si>
  <si>
    <t xml:space="preserve">02f8529a-2365-4d2b-941d-bae24c005aa0</t>
  </si>
  <si>
    <t xml:space="preserve">PRD-4860</t>
  </si>
  <si>
    <t xml:space="preserve">Cervical Collar-with Chin Support(0301a)-vissco L</t>
  </si>
  <si>
    <t xml:space="preserve">b0c7fe0c-79c2-4606-ae8e-700c8ddb61f0</t>
  </si>
  <si>
    <t xml:space="preserve">PRD-9810</t>
  </si>
  <si>
    <t xml:space="preserve">Cervical Collar-with Chin Support(0301a)-vissco M</t>
  </si>
  <si>
    <t xml:space="preserve">be84755e-8b4c-4e2f-90b9-b43d0e2a74ab</t>
  </si>
  <si>
    <t xml:space="preserve">PRD-3460</t>
  </si>
  <si>
    <t xml:space="preserve">Cervical Collar-with Chin Support(0301a)-vissco S</t>
  </si>
  <si>
    <t xml:space="preserve">dbad8e5d-bf9f-41df-b3e9-26a771d3e58e</t>
  </si>
  <si>
    <t xml:space="preserve">PRD-5498</t>
  </si>
  <si>
    <t xml:space="preserve">Cervical Collar-with Chin Support(0301a)-vissco Xl</t>
  </si>
  <si>
    <t xml:space="preserve">3b79b569-21d9-4808-8c7e-9053ec803e55</t>
  </si>
  <si>
    <t xml:space="preserve">PRD-3270</t>
  </si>
  <si>
    <t xml:space="preserve">Cervical Collar-without Chin Support(0301b)-vissco L</t>
  </si>
  <si>
    <t xml:space="preserve">913efb94-9fbd-4bf7-9385-117d85a349fe</t>
  </si>
  <si>
    <t xml:space="preserve">PRD-8413</t>
  </si>
  <si>
    <t xml:space="preserve">Cervical Collar-without Chin Support(0301b)-vissco S</t>
  </si>
  <si>
    <t xml:space="preserve">7423b156-7b09-48fe-ad7e-0e1190cb90dd</t>
  </si>
  <si>
    <t xml:space="preserve">PRD-1685</t>
  </si>
  <si>
    <t xml:space="preserve">Cervical Collar-without Chin Support(0301b)-vissco Xl</t>
  </si>
  <si>
    <t xml:space="preserve">3ec85ee8-b355-4e74-97ee-9f3a261f6cb9</t>
  </si>
  <si>
    <t xml:space="preserve">PRD-1124</t>
  </si>
  <si>
    <t xml:space="preserve">Cervical Collar-without Chin Support(0301b)-vissco Xxl</t>
  </si>
  <si>
    <t xml:space="preserve">80efb0ef-5576-41b9-8479-9afce02900b1</t>
  </si>
  <si>
    <t xml:space="preserve">PRD-MUO0U8DT</t>
  </si>
  <si>
    <t xml:space="preserve">Compression Stocking Blow Knee Pair L Tynor</t>
  </si>
  <si>
    <t xml:space="preserve">Compression Stcoking</t>
  </si>
  <si>
    <t xml:space="preserve">aae87b87-bf7e-42c0-85da-1b28c2474046</t>
  </si>
  <si>
    <t xml:space="preserve">PRD-MUO0KIZW</t>
  </si>
  <si>
    <t xml:space="preserve">Compression Stocking Blow Knee Pair M Tynor</t>
  </si>
  <si>
    <t xml:space="preserve">fa0d7b2d-ffd8-4b26-bf5a-86be4dce43de</t>
  </si>
  <si>
    <t xml:space="preserve">PRD-MUO0SH9X</t>
  </si>
  <si>
    <t xml:space="preserve">Compression Stocking Blow Knee Pair Xl Tynor</t>
  </si>
  <si>
    <t xml:space="preserve">d687448a-2018-4538-ac51-79a701f09cda</t>
  </si>
  <si>
    <t xml:space="preserve">PRD-MUO0WCRB</t>
  </si>
  <si>
    <t xml:space="preserve">Compression Stocking Midthigh Pair S Tynor</t>
  </si>
  <si>
    <t xml:space="preserve">a9ddc8d4-8f4a-4d4b-822e-36ac40a7dee3</t>
  </si>
  <si>
    <t xml:space="preserve">PRD-MUR02RYE</t>
  </si>
  <si>
    <t xml:space="preserve">Contoured Ls Support Xl Nr-105 Nebula</t>
  </si>
  <si>
    <t xml:space="preserve">Nebula Orthosys(India)</t>
  </si>
  <si>
    <t xml:space="preserve">Lumbar Support</t>
  </si>
  <si>
    <t xml:space="preserve">373423b5-4c95-4448-a223-4e16574aa648</t>
  </si>
  <si>
    <t xml:space="preserve">PRD-6ABCB9BE6</t>
  </si>
  <si>
    <t xml:space="preserve">Elastic 4 Way Knee Support 12" Large(174) NEBULA</t>
  </si>
  <si>
    <t xml:space="preserve">Knee Support</t>
  </si>
  <si>
    <t xml:space="preserve">d60537b7-5afd-4cb1-bc2b-567c04c8907e</t>
  </si>
  <si>
    <t xml:space="preserve">PRD-6ABCB9BE5</t>
  </si>
  <si>
    <t xml:space="preserve">Elastic 4 Way Knee Support 12" Medium(174) NEBULA</t>
  </si>
  <si>
    <t xml:space="preserve">ea11d4fb-dc14-4c2d-aa48-2523d238eca7</t>
  </si>
  <si>
    <t xml:space="preserve">PRD-6ABCB9BE4</t>
  </si>
  <si>
    <t xml:space="preserve">Elastic 4 Way Knee Support 12" Small(174) NEBULA</t>
  </si>
  <si>
    <t xml:space="preserve">09520a4c-691c-4d14-a8ac-013caef5c30a</t>
  </si>
  <si>
    <t xml:space="preserve">PRD-6ABCB9BE7</t>
  </si>
  <si>
    <t xml:space="preserve">Elastic 4 Way Knee Support 12" XL(174) NEBULA</t>
  </si>
  <si>
    <t xml:space="preserve">275cbe4b-d2b9-41dc-b85b-29fd8d846bc1</t>
  </si>
  <si>
    <t xml:space="preserve">PRD-6ABCB9BE24</t>
  </si>
  <si>
    <t xml:space="preserve">Elastic 4 Way Knee Support L(171) NEBULA</t>
  </si>
  <si>
    <t xml:space="preserve">2cb98df9-9867-4fde-b6fc-e6c1b7babcbf</t>
  </si>
  <si>
    <t xml:space="preserve">PRD-6ABCB9BE18</t>
  </si>
  <si>
    <t xml:space="preserve">Elastic 4 Way Knee Support L(173) NEBULA</t>
  </si>
  <si>
    <t xml:space="preserve">a90ac195-81e2-4388-8756-0047d275134a</t>
  </si>
  <si>
    <t xml:space="preserve">PRD-6ABCB9BE23</t>
  </si>
  <si>
    <t xml:space="preserve">Elastic 4 Way Knee Support M(171) NEBULA</t>
  </si>
  <si>
    <t xml:space="preserve">3d89bc98-6293-4cf8-8e88-c1e49655217f</t>
  </si>
  <si>
    <t xml:space="preserve">PRD-6ABCB9BE20</t>
  </si>
  <si>
    <t xml:space="preserve">Elastic 4 Way Knee Support M(173) NEBULA</t>
  </si>
  <si>
    <t xml:space="preserve">9eadb898-70b4-4bc4-a98d-1feb1bcb7281</t>
  </si>
  <si>
    <t xml:space="preserve">PRD-6ABCB9BE22</t>
  </si>
  <si>
    <t xml:space="preserve">Elastic 4 Way Knee Support S(171) NEBULA</t>
  </si>
  <si>
    <t xml:space="preserve">0d7a2f3b-4ab1-45f8-9678-86d05bc6a131</t>
  </si>
  <si>
    <t xml:space="preserve">PRD-6ABCB9BE19</t>
  </si>
  <si>
    <t xml:space="preserve">Elastic 4 Way Knee Support S(173) NEBULA</t>
  </si>
  <si>
    <t xml:space="preserve">1ec9a2c9-f8a3-40c3-a89d-5dd26398d742</t>
  </si>
  <si>
    <t xml:space="preserve">PRD-6ABCB9BE21</t>
  </si>
  <si>
    <t xml:space="preserve">Elastic 4 Way Knee Support XL(173) NEBULA</t>
  </si>
  <si>
    <t xml:space="preserve">2aa6dc85-0bb9-4086-a94a-673dca6e2d00</t>
  </si>
  <si>
    <t xml:space="preserve">PRD-6ABCB9BE25</t>
  </si>
  <si>
    <t xml:space="preserve">Elastic 4 Way Knee Support XXL(171) NEBULA</t>
  </si>
  <si>
    <t xml:space="preserve">613a91ce-8d78-41ce-bfbc-03bf7fb16a40</t>
  </si>
  <si>
    <t xml:space="preserve">PRD-6ABCB9BE15</t>
  </si>
  <si>
    <t xml:space="preserve">Elastic Knee Support 12" Long L(172) NEBULA</t>
  </si>
  <si>
    <t xml:space="preserve">182a5347-99f2-4d85-823c-467562706620</t>
  </si>
  <si>
    <t xml:space="preserve">PRD-6ABCB9BE14</t>
  </si>
  <si>
    <t xml:space="preserve">Elastic Knee Support 12" Long M(172) NEBULA</t>
  </si>
  <si>
    <t xml:space="preserve">d30ab511-ce94-4849-9486-580ae4beb0d0</t>
  </si>
  <si>
    <t xml:space="preserve">PRD-6ABCB9BE13</t>
  </si>
  <si>
    <t xml:space="preserve">Elastic Knee Support 12" Long S(172) NEBULA</t>
  </si>
  <si>
    <t xml:space="preserve">2b154087-009d-411e-b0ce-79be14b0c6b5</t>
  </si>
  <si>
    <t xml:space="preserve">PRD-6ABCB9BE16</t>
  </si>
  <si>
    <t xml:space="preserve">Elastic Knee Support 12" Long XL(172) NEBULA</t>
  </si>
  <si>
    <t xml:space="preserve">8b963bc8-0bb2-4755-92d9-31467063ae0c</t>
  </si>
  <si>
    <t xml:space="preserve">PRD-6ABCB9BE17</t>
  </si>
  <si>
    <t xml:space="preserve">Elastic Knee Support 12" Long XXL(172) NEBULA</t>
  </si>
  <si>
    <t xml:space="preserve">d3b6cefb-7bf1-4a29-bb61-7da101bfa4fc</t>
  </si>
  <si>
    <t xml:space="preserve">PRD-6ABCB9BE2</t>
  </si>
  <si>
    <t xml:space="preserve">Elastic Wrist Brace(156) NEBULA</t>
  </si>
  <si>
    <t xml:space="preserve">Wrist Support</t>
  </si>
  <si>
    <t xml:space="preserve">c96f9b1d-0d35-478b-8a9e-9431e01a9db8</t>
  </si>
  <si>
    <t xml:space="preserve">PRD-6ABCCBA74</t>
  </si>
  <si>
    <t xml:space="preserve">Elastic Wrist Support L Flamingo</t>
  </si>
  <si>
    <t xml:space="preserve">20f38654-f049-436a-959c-81e45bf46137</t>
  </si>
  <si>
    <t xml:space="preserve">PRD-6ABCCBA73</t>
  </si>
  <si>
    <t xml:space="preserve">Elastic Wrist Support S Flamingo</t>
  </si>
  <si>
    <t xml:space="preserve">0c5ff230-6ece-4f39-9135-57de69dda6db</t>
  </si>
  <si>
    <t xml:space="preserve">PRD-6ABCCBA75</t>
  </si>
  <si>
    <t xml:space="preserve">Elastic Wrist Support XL Flamingo</t>
  </si>
  <si>
    <t xml:space="preserve">b8340a51-ed9b-4c49-9eb7-4d5de0c320af</t>
  </si>
  <si>
    <t xml:space="preserve">PRD-6ABCB9BE10</t>
  </si>
  <si>
    <t xml:space="preserve">Knee Brace Short Type 12" L(177) NEBULA</t>
  </si>
  <si>
    <t xml:space="preserve">df2b39de-4932-4e7d-920f-140ab845e6e0</t>
  </si>
  <si>
    <t xml:space="preserve">PRD-6ABCB9BE9</t>
  </si>
  <si>
    <t xml:space="preserve">Knee Brace Short Type 12" S(177) NEBULA</t>
  </si>
  <si>
    <t xml:space="preserve">35d231be-2148-4fa2-8216-9fb7082cb0f6</t>
  </si>
  <si>
    <t xml:space="preserve">PRD-6ABCB9BE11</t>
  </si>
  <si>
    <t xml:space="preserve">Knee Brace Short Type 12" XL(177) NEBULA</t>
  </si>
  <si>
    <t xml:space="preserve">073788f0-233b-4608-ae44-df4cc3f55b69</t>
  </si>
  <si>
    <t xml:space="preserve">PRD-6ABCB9BE8</t>
  </si>
  <si>
    <t xml:space="preserve">Knee Brace Short Type 12" XS(177) NEBULA</t>
  </si>
  <si>
    <t xml:space="preserve">b00df738-512f-4622-82c0-1c1b0db2420e</t>
  </si>
  <si>
    <t xml:space="preserve">PRD-6ABCB9BE12</t>
  </si>
  <si>
    <t xml:space="preserve">Knee Brace Short Type 12" XXL(177) NEBULA</t>
  </si>
  <si>
    <t xml:space="preserve">ccb0c97d-578a-46f8-a7fd-08e27d2b519d</t>
  </si>
  <si>
    <t xml:space="preserve">PRD-MUO153NL</t>
  </si>
  <si>
    <t xml:space="preserve">Mid Thigh Compression Stocking 2840 Iv Oppo</t>
  </si>
  <si>
    <t xml:space="preserve">4dc0d6dd-5ef7-4ba3-ae97-2fa98d1af356</t>
  </si>
  <si>
    <t xml:space="preserve">PRD-MUO16UNI</t>
  </si>
  <si>
    <t xml:space="preserve">Mid Thigh Compression Stocking 2840 V Oppo</t>
  </si>
  <si>
    <t xml:space="preserve">37610b01-44cd-45f5-8480-1b6ceca486d5</t>
  </si>
  <si>
    <t xml:space="preserve">PRD-MUO1837W</t>
  </si>
  <si>
    <t xml:space="preserve">Mid Thigh Compression Stocking 2840 Vii Oppo</t>
  </si>
  <si>
    <t xml:space="preserve">84eb71a0-baec-4a80-91f6-82b364591b8b</t>
  </si>
  <si>
    <t xml:space="preserve">PRD-NHIMASEP02</t>
  </si>
  <si>
    <t xml:space="preserve">OPEN KNEE BRACE L OPPO 2029</t>
  </si>
  <si>
    <t xml:space="preserve">KNEE BRACE</t>
  </si>
  <si>
    <t xml:space="preserve">0c8932d2-f850-46d4-90a1-2a14ef7b5417</t>
  </si>
  <si>
    <t xml:space="preserve">PRD-NHIMASEP01</t>
  </si>
  <si>
    <t xml:space="preserve">OPEN KNEE BRACE M OPPO 2029</t>
  </si>
  <si>
    <t xml:space="preserve">851254b8-3495-4404-afcd-de7de76e9307</t>
  </si>
  <si>
    <t xml:space="preserve">PRD-6ABCCBA77</t>
  </si>
  <si>
    <t xml:space="preserve">Patella Ribbed Elasticated Knee Cap L(0717) Vissco</t>
  </si>
  <si>
    <t xml:space="preserve">11f93c17-7451-4407-9cfe-7029d2829978</t>
  </si>
  <si>
    <t xml:space="preserve">PRD-6ABCCBA78</t>
  </si>
  <si>
    <t xml:space="preserve">Patella Ribbed Elasticated Knee Cap M(0717) Vissco</t>
  </si>
  <si>
    <t xml:space="preserve">3b40e05c-a75b-4bec-b200-9c1591dd6efd</t>
  </si>
  <si>
    <t xml:space="preserve">PRD-6ABCCBA76</t>
  </si>
  <si>
    <t xml:space="preserve">Patella Ribbed Elasticated Knee Cap S(0717) Vissco</t>
  </si>
  <si>
    <t xml:space="preserve">a222c1c0-7e49-41d7-b67a-7e558a88babb</t>
  </si>
  <si>
    <t xml:space="preserve">PRD-6ABCCBA79</t>
  </si>
  <si>
    <t xml:space="preserve">Patella Ribbed Elasticated Knee Cap XL(0717) Vissco</t>
  </si>
  <si>
    <t xml:space="preserve">b1fa6cf0-7028-4639-8b71-ef9a7d45cbfa</t>
  </si>
  <si>
    <t xml:space="preserve">PRD-6ABCB9BE1</t>
  </si>
  <si>
    <t xml:space="preserve">Premium Ankle Support(203) NEBULA</t>
  </si>
  <si>
    <t xml:space="preserve">Ankle Support</t>
  </si>
  <si>
    <t xml:space="preserve">adcb0c82-c818-4cbc-9918-5e77377e12ca</t>
  </si>
  <si>
    <t xml:space="preserve">PRD-6ABCB9BE3</t>
  </si>
  <si>
    <t xml:space="preserve">Premium Thumb Support(161) NEBULA</t>
  </si>
  <si>
    <t xml:space="preserve">Thumb Support</t>
  </si>
  <si>
    <t xml:space="preserve">d88c5ce2-b280-4802-b343-36d845361ae5</t>
  </si>
  <si>
    <t xml:space="preserve">PRD-6ABCCBA712</t>
  </si>
  <si>
    <t xml:space="preserve">Swan Finger Splint 0622 Vissco</t>
  </si>
  <si>
    <t xml:space="preserve">ff8ea539-04fe-4073-814a-aef77f07c08e</t>
  </si>
  <si>
    <t xml:space="preserve">PRD-MUO134IX</t>
  </si>
  <si>
    <t xml:space="preserve">Thigh High Compression Stocking 2859 L Oppo</t>
  </si>
  <si>
    <t xml:space="preserve">6171b8c2-cb4d-4f57-960f-66f41bc7126d</t>
  </si>
  <si>
    <t xml:space="preserve">PRD-MUO0YZFQ</t>
  </si>
  <si>
    <t xml:space="preserve">Thigh High Compression Stocking 2859 M Oppo</t>
  </si>
  <si>
    <t xml:space="preserve">8af0215f-209a-418d-b30d-231151adce7f</t>
  </si>
  <si>
    <t xml:space="preserve">PRD-6571</t>
  </si>
  <si>
    <t xml:space="preserve">Thumb Spica Support(0643) Universal Vissco</t>
  </si>
  <si>
    <t xml:space="preserve">1f4c3a1e-c53a-4d60-8bb1-23cb16afde92</t>
  </si>
  <si>
    <t xml:space="preserve">PRD-MTHVAJY7160</t>
  </si>
  <si>
    <t xml:space="preserve">Tylor Brace(Dlso) Brace(Nebula) L(Nr-106)</t>
  </si>
  <si>
    <t xml:space="preserve">db76cb66-14ef-4293-925f-5773f616ab27</t>
  </si>
  <si>
    <t xml:space="preserve">PRD-MTHVAMMH161</t>
  </si>
  <si>
    <t xml:space="preserve">Tylor Brace(Dlso) Brace(Nebula) M(Nr-106)</t>
  </si>
  <si>
    <t xml:space="preserve">9302a0fe-7439-4f1f-8cef-e5d3d7f66900</t>
  </si>
  <si>
    <t xml:space="preserve">PRD-MTHVAPAE162</t>
  </si>
  <si>
    <t xml:space="preserve">Tylor Brace(Dlso) Brace(Nebula) S(Nr-106)</t>
  </si>
  <si>
    <t xml:space="preserve">77098fe3-e9dd-402a-be4e-b1b6de301985</t>
  </si>
  <si>
    <t xml:space="preserve">PRD-MTHVARQZ163</t>
  </si>
  <si>
    <t xml:space="preserve">Tylor Brace(Dlso) Brace(Nebula) Xl(Nr-106)</t>
  </si>
  <si>
    <t xml:space="preserve">3c6c9137-07e9-4900-88ad-366df0745c01</t>
  </si>
  <si>
    <t xml:space="preserve">PRD-MTHVAU6U164</t>
  </si>
  <si>
    <t xml:space="preserve">Tylor Brace(Dlso) Brace(Nebula) Xxl(Nr-106)</t>
  </si>
  <si>
    <t xml:space="preserve">33569e95-cbf3-49e5-be30-fad65aa43bc7</t>
  </si>
  <si>
    <t xml:space="preserve">PRD-6ABCCBA710</t>
  </si>
  <si>
    <t xml:space="preserve">Universal Elastic Cock Up Splint 0601 Vissco</t>
  </si>
  <si>
    <t xml:space="preserve">15fd51c3-dee6-443c-b852-0b7d514aff2b</t>
  </si>
  <si>
    <t xml:space="preserve">PRD-6ABCCBA713</t>
  </si>
  <si>
    <t xml:space="preserve">Universal Elastic Wrist Support 0614 Vissco</t>
  </si>
  <si>
    <t xml:space="preserve">d945d62c-0c25-4161-8856-7b3c69ed56ad</t>
  </si>
  <si>
    <t xml:space="preserve">PRD-MUO1PA3O</t>
  </si>
  <si>
    <t xml:space="preserve">Varicose Vein Stocking Elastic Tubular L Ambygo</t>
  </si>
  <si>
    <t xml:space="preserve">Ambygo(mahika Medical Pvt. Ltd.) India</t>
  </si>
  <si>
    <t xml:space="preserve">fe95a8a4-e632-4586-884b-15020a382265</t>
  </si>
  <si>
    <t xml:space="preserve">PRD-MUO1O3VL</t>
  </si>
  <si>
    <t xml:space="preserve">Varicose Vein Stocking Elastic Tubular M Ambygo</t>
  </si>
  <si>
    <t xml:space="preserve">79464d30-d03d-4994-8b5d-c55aae0ceb0d</t>
  </si>
  <si>
    <t xml:space="preserve">PRD-MUO1QF33</t>
  </si>
  <si>
    <t xml:space="preserve">Varicose Vein Stocking Elastic Tubular Xl Ambygo</t>
  </si>
  <si>
    <t xml:space="preserve">6a5b893c-9eee-40c4-86ee-7d4b92e432bd</t>
  </si>
  <si>
    <t xml:space="preserve">PRD-MUO1EVED</t>
  </si>
  <si>
    <t xml:space="preserve">Vericose Vein Stocking Elastic Tubular S Ambygo</t>
  </si>
  <si>
    <t xml:space="preserve">5aadf790-570e-4828-9b99-33c78688edac</t>
  </si>
  <si>
    <t xml:space="preserve">PRD-MV4X2PM5</t>
  </si>
  <si>
    <t xml:space="preserve">Walking Bar</t>
  </si>
  <si>
    <t xml:space="preserve">eae55d4a-5719-4ffd-ba62-79b453bcc6a0</t>
  </si>
  <si>
    <t xml:space="preserve">PRD-6ABCCBA72</t>
  </si>
  <si>
    <t xml:space="preserve">Wrist Brace Universal Flamingo</t>
  </si>
  <si>
    <t xml:space="preserve">77e04664-d52e-4f91-9e4b-0ff735a0d963</t>
  </si>
  <si>
    <t xml:space="preserve">PRD-0032</t>
  </si>
  <si>
    <t xml:space="preserve">Wrist/Thumb Support(Oppo) 1084 Large</t>
  </si>
  <si>
    <t xml:space="preserve">6d4842e8-9c47-433c-98b2-8e9fc0e1d5ce</t>
  </si>
  <si>
    <t xml:space="preserve">PRD-5984</t>
  </si>
  <si>
    <t xml:space="preserve">Wrist/Thumb Support(Oppo) 1084 Medium</t>
  </si>
  <si>
    <t xml:space="preserve">e2b934e1-7b9f-484d-928e-ee551d37e248</t>
  </si>
  <si>
    <t xml:space="preserve">PRD-3329</t>
  </si>
  <si>
    <t xml:space="preserve">Wrist/Thumb Support(Oppo) 1084 Small</t>
  </si>
  <si>
    <t xml:space="preserve">eebedb6a-6459-453b-b50b-bfa5dcc14cf2</t>
  </si>
  <si>
    <t xml:space="preserve">PRD-MTHUY11G19</t>
  </si>
  <si>
    <t xml:space="preserve">Pop 10cm*2.7m</t>
  </si>
  <si>
    <t xml:space="preserve">Plaster Of Paris</t>
  </si>
  <si>
    <t xml:space="preserve">Casting Materials</t>
  </si>
  <si>
    <t xml:space="preserve">casting_materials</t>
  </si>
  <si>
    <t xml:space="preserve">5c6895e0-ead9-4b67-b5d8-346f82816b7b</t>
  </si>
  <si>
    <t xml:space="preserve">PRD-MTHUY3JR20</t>
  </si>
  <si>
    <t xml:space="preserve">Pop 15cm*2.7m</t>
  </si>
  <si>
    <t xml:space="preserve">4693bd34-4ef9-435b-8530-a2005e7eec0d</t>
  </si>
  <si>
    <t xml:space="preserve">PRD-MTHVFXDY224</t>
  </si>
  <si>
    <t xml:space="preserve">Allies Tissue Forcep 5*6 Teethend</t>
  </si>
  <si>
    <t xml:space="preserve">Artery Forceps</t>
  </si>
  <si>
    <t xml:space="preserve">Forceps</t>
  </si>
  <si>
    <t xml:space="preserve">surgical_instruments</t>
  </si>
  <si>
    <t xml:space="preserve">forceps</t>
  </si>
  <si>
    <t xml:space="preserve">3117e6b9-649f-440d-8e62-9826dbd9c697</t>
  </si>
  <si>
    <t xml:space="preserve">PRD-MTHVG02N225</t>
  </si>
  <si>
    <t xml:space="preserve">Babcock Tissue Forcep 7" Straight</t>
  </si>
  <si>
    <t xml:space="preserve">189beafa-c01b-4f54-9a81-c0d22433d7e1</t>
  </si>
  <si>
    <t xml:space="preserve">PRD-7D0B30EE</t>
  </si>
  <si>
    <t xml:space="preserve">BACKHAUS TOWEL FORCEPS 3.5"</t>
  </si>
  <si>
    <t xml:space="preserve">Holding Forceps</t>
  </si>
  <si>
    <t xml:space="preserve">7cd1d5af-33cf-4bb0-9088-797a514b2533</t>
  </si>
  <si>
    <t xml:space="preserve">PRD-0F280C22</t>
  </si>
  <si>
    <t xml:space="preserve">BACKHAUS TOWEL FORCEPS 5.5"</t>
  </si>
  <si>
    <t xml:space="preserve">6dcd74df-363a-4d08-a779-ccf736e0d80b</t>
  </si>
  <si>
    <t xml:space="preserve">PRD-MTHVG330226</t>
  </si>
  <si>
    <t xml:space="preserve">Backhause Towel Forcep 3.5"</t>
  </si>
  <si>
    <t xml:space="preserve">38c53c03-0cd9-48fd-8446-f03bc4c004dc</t>
  </si>
  <si>
    <t xml:space="preserve">PRD-MTHVG5XT227</t>
  </si>
  <si>
    <t xml:space="preserve">Backhause Towel Forcep 5.25"</t>
  </si>
  <si>
    <t xml:space="preserve">d28c8f4c-b68d-4237-bc46-3c563230f588</t>
  </si>
  <si>
    <t xml:space="preserve">PRD-MTHVG8QN228</t>
  </si>
  <si>
    <t xml:space="preserve">Cheatle Forcep 12" Curved</t>
  </si>
  <si>
    <t xml:space="preserve">ee0148a8-557d-4f6f-900f-e18af7296b7a</t>
  </si>
  <si>
    <t xml:space="preserve">PRD-MTHVGBLE229</t>
  </si>
  <si>
    <t xml:space="preserve">Crile Forcep 5" Straight</t>
  </si>
  <si>
    <t xml:space="preserve">1fa77c87-45a8-4dcd-b45f-4613dca72ed5</t>
  </si>
  <si>
    <t xml:space="preserve">PRD-MTHVGEGV230</t>
  </si>
  <si>
    <t xml:space="preserve">Crile Forcep 5.5" Curved</t>
  </si>
  <si>
    <t xml:space="preserve">3e01041d-12c7-4d2a-b8c5-be248b3584b5</t>
  </si>
  <si>
    <t xml:space="preserve">PRD-MTHVGHHF231</t>
  </si>
  <si>
    <t xml:space="preserve">Crile Forcep 6" Curved</t>
  </si>
  <si>
    <t xml:space="preserve">64990ee2-47c4-42e6-829a-47441d22e3ce</t>
  </si>
  <si>
    <t xml:space="preserve">PRD-MTHVGKRX232</t>
  </si>
  <si>
    <t xml:space="preserve">Crile Forcep 6" Straight</t>
  </si>
  <si>
    <t xml:space="preserve">6d9546a5-3507-40b0-b9db-828546f2af6a</t>
  </si>
  <si>
    <t xml:space="preserve">PRD-MTHVI3CE251</t>
  </si>
  <si>
    <t xml:space="preserve">Dressing Forceps Non-Toothend 6"</t>
  </si>
  <si>
    <t xml:space="preserve">e63e561f-caee-4960-aeab-d3597deffd32</t>
  </si>
  <si>
    <t xml:space="preserve">PRD-MTHVGPH6233</t>
  </si>
  <si>
    <t xml:space="preserve">Dupley Tenaculum Forcep 11"</t>
  </si>
  <si>
    <t xml:space="preserve">288e248b-d186-4fdb-84d7-cc24f9189cc3</t>
  </si>
  <si>
    <t xml:space="preserve">PRD-MTHVGTHA234</t>
  </si>
  <si>
    <t xml:space="preserve">Kelly Forcep 6" Straight</t>
  </si>
  <si>
    <t xml:space="preserve">1de859cb-0001-4b18-8d94-9e0c9e752b13</t>
  </si>
  <si>
    <t xml:space="preserve">PRD-MTHVGWCH235</t>
  </si>
  <si>
    <t xml:space="preserve">Kelly Forcep 8" Straight</t>
  </si>
  <si>
    <t xml:space="preserve">3042c8e5-f5e4-4360-b2b1-4a29781274f7</t>
  </si>
  <si>
    <t xml:space="preserve">PRD-MTHVGZA0236</t>
  </si>
  <si>
    <t xml:space="preserve">Kocher Forcep 5.5" 1*2 Teeth Straight</t>
  </si>
  <si>
    <t xml:space="preserve">1978729f-17f3-4e88-a3f9-66fab344d882</t>
  </si>
  <si>
    <t xml:space="preserve">PRD-MTHVH285237</t>
  </si>
  <si>
    <t xml:space="preserve">Kocher Forcep 7" 1*2 Teeth Straight</t>
  </si>
  <si>
    <t xml:space="preserve">c12ac355-f2ad-4065-8333-c0b274c616d5</t>
  </si>
  <si>
    <t xml:space="preserve">PRD-MTHVH59E238</t>
  </si>
  <si>
    <t xml:space="preserve">Kocher Forcep 8" 1*2 Teeth Curved</t>
  </si>
  <si>
    <t xml:space="preserve">0d6ed6e2-9548-42a1-8e4d-5c3abe671812</t>
  </si>
  <si>
    <t xml:space="preserve">PRD-MTHVH7W7239</t>
  </si>
  <si>
    <t xml:space="preserve">Kocher Forcep 8" 1*2 Teeth Straight</t>
  </si>
  <si>
    <t xml:space="preserve">2f022567-6182-4d39-a111-92eb7e50b75e</t>
  </si>
  <si>
    <t xml:space="preserve">PRD-MTHVHARQ240</t>
  </si>
  <si>
    <t xml:space="preserve">Kocher Forcep 9" 1*2 Teeth Straight</t>
  </si>
  <si>
    <t xml:space="preserve">bf2fe627-b371-4935-b6b5-a1ba7f0c32af</t>
  </si>
  <si>
    <t xml:space="preserve">PRD-MTHVHDMB241</t>
  </si>
  <si>
    <t xml:space="preserve">Mixter O'shaughness Tissue Dissecting Forcep 7"</t>
  </si>
  <si>
    <t xml:space="preserve">fd9a49d4-17be-41a3-b4f0-10877859e460</t>
  </si>
  <si>
    <t xml:space="preserve">PRD-MTHVHG9P242</t>
  </si>
  <si>
    <t xml:space="preserve">Mosquito Forcep 6" Straight</t>
  </si>
  <si>
    <t xml:space="preserve">ceb75705-20c7-47a9-9d55-9caa97382d3d</t>
  </si>
  <si>
    <t xml:space="preserve">PRD-MTHVHISE243</t>
  </si>
  <si>
    <t xml:space="preserve">Rampley Sponge Holding Forcep 7" Straight</t>
  </si>
  <si>
    <t xml:space="preserve">62c7f955-2ddc-4de3-b1d5-e92c496b88aa</t>
  </si>
  <si>
    <t xml:space="preserve">PRD-MTHVHLB5244</t>
  </si>
  <si>
    <t xml:space="preserve">Rochester Pean Forcep 12" Straight</t>
  </si>
  <si>
    <t xml:space="preserve">c0d14484-abcd-4d03-86fc-7ade5e45eaea</t>
  </si>
  <si>
    <t xml:space="preserve">PRD-MTHVHNZH245</t>
  </si>
  <si>
    <t xml:space="preserve">Rochester Pean Forcep 7" Straight</t>
  </si>
  <si>
    <t xml:space="preserve">8201c4ef-b8a4-4d5c-9fb3-b29b2074fb3c</t>
  </si>
  <si>
    <t xml:space="preserve">PRD-MTHVHQJP246</t>
  </si>
  <si>
    <t xml:space="preserve">Rochester Pean Forcep 8" Straight</t>
  </si>
  <si>
    <t xml:space="preserve">689823d8-0002-4398-8799-db7f69781535</t>
  </si>
  <si>
    <t xml:space="preserve">PRD-MTHVHT2O247</t>
  </si>
  <si>
    <t xml:space="preserve">Spencer Well Artery Forcep 6" Straight</t>
  </si>
  <si>
    <t xml:space="preserve">0f9d6984-ac60-467e-9683-60da883cb393</t>
  </si>
  <si>
    <t xml:space="preserve">PRD-MTHVHVMH248</t>
  </si>
  <si>
    <t xml:space="preserve">Spencer Well Artery Forcep 8" Curved</t>
  </si>
  <si>
    <t xml:space="preserve">6f9aa84a-bbe3-4aa0-b209-5e6c87e6c03b</t>
  </si>
  <si>
    <t xml:space="preserve">PRD-MTHVHY44249</t>
  </si>
  <si>
    <t xml:space="preserve">Spencer Well Artery Forcep 8" Straight</t>
  </si>
  <si>
    <t xml:space="preserve">bb9fc82c-4250-451c-b68f-f352923deedb</t>
  </si>
  <si>
    <t xml:space="preserve">PRD-MTHVI5Z1252</t>
  </si>
  <si>
    <t xml:space="preserve">Thumb Dissecting Forceps Non-Toothend 10"</t>
  </si>
  <si>
    <t xml:space="preserve">04caa447-72c5-4fca-bdaf-2b474ae330a3</t>
  </si>
  <si>
    <t xml:space="preserve">PRD-MTHVIA0U253</t>
  </si>
  <si>
    <t xml:space="preserve">Thumb Dissecting Forceps Non-Toothend 11" Curved</t>
  </si>
  <si>
    <t xml:space="preserve">034eb0c3-cc84-416b-ab96-cea2127e7f81</t>
  </si>
  <si>
    <t xml:space="preserve">PRD-MTHVIDVL254</t>
  </si>
  <si>
    <t xml:space="preserve">Thumb Dissecting Forceps Non-Toothend 12"</t>
  </si>
  <si>
    <t xml:space="preserve">0a762f85-5556-4798-968b-ec7e82a4f543</t>
  </si>
  <si>
    <t xml:space="preserve">PRD-MTHVIGAT255</t>
  </si>
  <si>
    <t xml:space="preserve">Thumb Dissecting Forceps Non-Toothend 5.5"</t>
  </si>
  <si>
    <t xml:space="preserve">fe8ac247-1ba4-4308-8a2c-7f4da27babeb</t>
  </si>
  <si>
    <t xml:space="preserve">PRD-MTHVIISB256</t>
  </si>
  <si>
    <t xml:space="preserve">Thumb Dissecting Forceps Non-Toothend 6"</t>
  </si>
  <si>
    <t xml:space="preserve">f297f9fb-0fa6-438d-9400-6c028061e6f5</t>
  </si>
  <si>
    <t xml:space="preserve">PRD-MTHVILB5257</t>
  </si>
  <si>
    <t xml:space="preserve">Thumb Dissecting Forceps Non-Toothend 8"</t>
  </si>
  <si>
    <t xml:space="preserve">2bb27a1c-ff3a-4902-88e5-ebe24c743e98</t>
  </si>
  <si>
    <t xml:space="preserve">PRD-MTHVINTS258</t>
  </si>
  <si>
    <t xml:space="preserve">Thumb Dissecting Forceps Toothend 10"</t>
  </si>
  <si>
    <t xml:space="preserve">5f6db13a-dcd0-43e6-93ec-fef0f9ffd7da</t>
  </si>
  <si>
    <t xml:space="preserve">PRD-MTHVIQDG259</t>
  </si>
  <si>
    <t xml:space="preserve">Thumb Dissecting Forceps Toothend 6"</t>
  </si>
  <si>
    <t xml:space="preserve">6c29b31c-b5b7-4594-a1f8-51ac61480df9</t>
  </si>
  <si>
    <t xml:space="preserve">PRD-MTHVI0M8250</t>
  </si>
  <si>
    <t xml:space="preserve">Tilley Forcep</t>
  </si>
  <si>
    <t xml:space="preserve">10eeed97-2f74-4d83-af27-b0f54c1108ee</t>
  </si>
  <si>
    <t xml:space="preserve">PRD-722E13DC</t>
  </si>
  <si>
    <t xml:space="preserve">Auvard retractor</t>
  </si>
  <si>
    <t xml:space="preserve">Gynaecology Instruments</t>
  </si>
  <si>
    <t xml:space="preserve">gynaecology_instruments</t>
  </si>
  <si>
    <t xml:space="preserve">8d686e48-f142-4981-92b6-d49230060614</t>
  </si>
  <si>
    <t xml:space="preserve">PRD-MTHVJ48U264</t>
  </si>
  <si>
    <t xml:space="preserve">Auvard Weighted Vaginal Speculum</t>
  </si>
  <si>
    <t xml:space="preserve">fbe80f71-e19c-43ca-95b4-a00be4278545</t>
  </si>
  <si>
    <t xml:space="preserve">PRD-MTHVJ70E265</t>
  </si>
  <si>
    <t xml:space="preserve">Balfour Self Retaining Retractor</t>
  </si>
  <si>
    <t xml:space="preserve">fbeb6be9-13f7-43a6-be4d-8b963109990e</t>
  </si>
  <si>
    <t xml:space="preserve">PRD-E5B5CE8C</t>
  </si>
  <si>
    <t xml:space="preserve">CUSCO SPECULUM LARGE</t>
  </si>
  <si>
    <t xml:space="preserve">b33e0e72-dae9-49f7-916c-91a59d88dac4</t>
  </si>
  <si>
    <t xml:space="preserve">PRD-C7449FB5</t>
  </si>
  <si>
    <t xml:space="preserve">CUSCO SPECULUM MEDIUM</t>
  </si>
  <si>
    <t xml:space="preserve">78b62ee9-29ee-4586-ac38-bf049334107c</t>
  </si>
  <si>
    <t xml:space="preserve">PRD-MTHVJ9V5266</t>
  </si>
  <si>
    <t xml:space="preserve">Davison Retractor Large</t>
  </si>
  <si>
    <t xml:space="preserve">499ed7aa-e36b-45cb-87b6-84449cb14468</t>
  </si>
  <si>
    <t xml:space="preserve">PRD-6D7096BE</t>
  </si>
  <si>
    <t xml:space="preserve">DOYEN ABDOMINAL RETRACTOR LARGE</t>
  </si>
  <si>
    <t xml:space="preserve">671031ec-1976-40ef-b995-32c841e3f628</t>
  </si>
  <si>
    <t xml:space="preserve">PRD-0D61CAD4</t>
  </si>
  <si>
    <t xml:space="preserve">DOYEN ABDOMINAL RETRACTOR MEDIUM</t>
  </si>
  <si>
    <t xml:space="preserve">f7cb4101-e13f-4abc-9d15-9f62d5637eec</t>
  </si>
  <si>
    <t xml:space="preserve">PRD-MTHVJCK8267</t>
  </si>
  <si>
    <t xml:space="preserve">Fetoscope Aluminium</t>
  </si>
  <si>
    <t xml:space="preserve">cc176c1a-aea3-4dd2-a96c-280a1d3c22df</t>
  </si>
  <si>
    <t xml:space="preserve">PRD-C71EAE17</t>
  </si>
  <si>
    <t xml:space="preserve">GREEN ARMYTAGE FORCEPS 8.5"</t>
  </si>
  <si>
    <t xml:space="preserve">421dc33a-4e03-4b7e-9c3b-73c776294083</t>
  </si>
  <si>
    <t xml:space="preserve">PRD-MTHVJFFJ268</t>
  </si>
  <si>
    <t xml:space="preserve">Hank Dilator Set Of 6</t>
  </si>
  <si>
    <t xml:space="preserve">5c6ad717-8937-49cd-850c-8dcc913db570</t>
  </si>
  <si>
    <t xml:space="preserve">PRD-MTHVJI8U269</t>
  </si>
  <si>
    <t xml:space="preserve">Hegar Uterine Dilator Set Of 8</t>
  </si>
  <si>
    <t xml:space="preserve">018c7cea-df5f-4216-8bb3-5d42a4e26b3d</t>
  </si>
  <si>
    <t xml:space="preserve">PRD-MTHVJKYO270</t>
  </si>
  <si>
    <t xml:space="preserve">Morris Retractor Double Ended</t>
  </si>
  <si>
    <t xml:space="preserve">e2a9302d-9b17-4b96-8aad-e44d96a5628d</t>
  </si>
  <si>
    <t xml:space="preserve">PRD-MTHVJQYT272</t>
  </si>
  <si>
    <t xml:space="preserve">Morris Retractor Single Blade</t>
  </si>
  <si>
    <t xml:space="preserve">e10e4a11-dee0-49f8-8aa3-8ca307987330</t>
  </si>
  <si>
    <t xml:space="preserve">PRD-MTHVJTOU273</t>
  </si>
  <si>
    <t xml:space="preserve">Vanburen Dilator Set Of 14</t>
  </si>
  <si>
    <t xml:space="preserve">2f995aa3-9468-44e4-919f-b3ff4d867ef8</t>
  </si>
  <si>
    <t xml:space="preserve">PRD-MTHVJWEA274</t>
  </si>
  <si>
    <t xml:space="preserve">Vanburen Dilator Set Of 8</t>
  </si>
  <si>
    <t xml:space="preserve">a152f26b-90a7-4f86-8920-32fb5d9bc307</t>
  </si>
  <si>
    <t xml:space="preserve">PRD-MTHVF2ES215</t>
  </si>
  <si>
    <t xml:space="preserve">Chabbra's High Pressure Shunt</t>
  </si>
  <si>
    <t xml:space="preserve">G. Surgiwear Limited(India)</t>
  </si>
  <si>
    <t xml:space="preserve">Shunt</t>
  </si>
  <si>
    <t xml:space="preserve">Implants &amp; Shunts</t>
  </si>
  <si>
    <t xml:space="preserve">implants_and_shunts</t>
  </si>
  <si>
    <t xml:space="preserve">41bfd371-7d29-47c1-872b-b66b989ae308</t>
  </si>
  <si>
    <t xml:space="preserve">PRD-MTHVF59W216</t>
  </si>
  <si>
    <t xml:space="preserve">Chabbra's Low Pressure Shunt</t>
  </si>
  <si>
    <t xml:space="preserve">8396cdb1-ea7f-4408-ae83-55cf7b003967</t>
  </si>
  <si>
    <t xml:space="preserve">PRD-MTHVF841217</t>
  </si>
  <si>
    <t xml:space="preserve">Chabbra's Medium Pressure Shunt</t>
  </si>
  <si>
    <t xml:space="preserve">b9ffe600-4ec0-421b-8ef3-f214dd62f405</t>
  </si>
  <si>
    <t xml:space="preserve">PRD-MUXX09VW</t>
  </si>
  <si>
    <t xml:space="preserve">Tegaderm 1626(10cm*12cm) Film</t>
  </si>
  <si>
    <t xml:space="preserve">3M™ Tegaderm™</t>
  </si>
  <si>
    <t xml:space="preserve">Waterproof Film</t>
  </si>
  <si>
    <t xml:space="preserve">f1a6314e-3da1-452c-9a2e-0ebf4989bb56</t>
  </si>
  <si>
    <t xml:space="preserve">PRD-MTHVJO7Q271</t>
  </si>
  <si>
    <t xml:space="preserve">Mayo Haegar Needle Holder 10" Straight</t>
  </si>
  <si>
    <t xml:space="preserve">Needle Holder</t>
  </si>
  <si>
    <t xml:space="preserve">Needle Holders</t>
  </si>
  <si>
    <t xml:space="preserve">needle_holders</t>
  </si>
  <si>
    <t xml:space="preserve">566d533a-b0cf-4994-9798-7c3f333364ef</t>
  </si>
  <si>
    <t xml:space="preserve">PRD-MTHVJZKR275</t>
  </si>
  <si>
    <t xml:space="preserve">Bone Cutter Large</t>
  </si>
  <si>
    <t xml:space="preserve">Orthopaedic Instruments</t>
  </si>
  <si>
    <t xml:space="preserve">orthopaedic_instruments</t>
  </si>
  <si>
    <t xml:space="preserve">013ed9a7-eedc-4cea-8121-229f836a4220</t>
  </si>
  <si>
    <t xml:space="preserve">PRD-C4B79512</t>
  </si>
  <si>
    <t xml:space="preserve">DOYEN BONE MALLET</t>
  </si>
  <si>
    <t xml:space="preserve">425273a7-725e-4b6b-a668-0d4e9c1bf9f8</t>
  </si>
  <si>
    <t xml:space="preserve">PRD-789B9967</t>
  </si>
  <si>
    <t xml:space="preserve">Hannig Separator</t>
  </si>
  <si>
    <t xml:space="preserve">a6f4c129-971e-49c8-a1c6-18bd5acb6c30</t>
  </si>
  <si>
    <t xml:space="preserve">PRD-E4B5453F</t>
  </si>
  <si>
    <t xml:space="preserve">SCREW DRIVER 4.5MM</t>
  </si>
  <si>
    <t xml:space="preserve">c751088a-ec9c-4366-a2d3-ec88efdd15c2</t>
  </si>
  <si>
    <t xml:space="preserve">PRD-MTHVK63Y277</t>
  </si>
  <si>
    <t xml:space="preserve">Scalple Handle No.3</t>
  </si>
  <si>
    <t xml:space="preserve">Scalple Handle</t>
  </si>
  <si>
    <t xml:space="preserve">Scalpel Handles</t>
  </si>
  <si>
    <t xml:space="preserve">scalpel_handles</t>
  </si>
  <si>
    <t xml:space="preserve">681e9231-385c-4251-ae89-3211f95b0027</t>
  </si>
  <si>
    <t xml:space="preserve">PRD-MTHVK8S6278</t>
  </si>
  <si>
    <t xml:space="preserve">Scalple Handle No.3l</t>
  </si>
  <si>
    <t xml:space="preserve">3f529422-9bf5-4978-bfa9-e72d19622f58</t>
  </si>
  <si>
    <t xml:space="preserve">PRD-MTHVKBH7279</t>
  </si>
  <si>
    <t xml:space="preserve">Scalple Handle No.4</t>
  </si>
  <si>
    <t xml:space="preserve">2f3a5eaf-f1dc-4ab4-8f83-1fdee890b342</t>
  </si>
  <si>
    <t xml:space="preserve">PRD-MTHVKE7C280</t>
  </si>
  <si>
    <t xml:space="preserve">Scalple Handle No.4l</t>
  </si>
  <si>
    <t xml:space="preserve">787286e5-eb23-4964-ad38-5bb4a7106912</t>
  </si>
  <si>
    <t xml:space="preserve">PRD-MTHVKGYD281</t>
  </si>
  <si>
    <t xml:space="preserve">Scalple Handle No.7</t>
  </si>
  <si>
    <t xml:space="preserve">2e1af15b-08b6-43c7-b388-befd41d5bea2</t>
  </si>
  <si>
    <t xml:space="preserve">PRD-MTHVKJPC282</t>
  </si>
  <si>
    <t xml:space="preserve">Scalple Handle Normal</t>
  </si>
  <si>
    <t xml:space="preserve">c8b4c5d8-dd29-4fd7-8cbf-81b21e8321eb</t>
  </si>
  <si>
    <t xml:space="preserve">PRD-MTHVKMX0283</t>
  </si>
  <si>
    <t xml:space="preserve">Iris Angular Scissor 4.5"</t>
  </si>
  <si>
    <t xml:space="preserve">Scissors</t>
  </si>
  <si>
    <t xml:space="preserve">scissors</t>
  </si>
  <si>
    <t xml:space="preserve">8ea53ec4-73bd-45f5-bab4-391d93dcba49</t>
  </si>
  <si>
    <t xml:space="preserve">PRD-MTHVKPLR284</t>
  </si>
  <si>
    <t xml:space="preserve">Iris Scissor 3.5" Straight</t>
  </si>
  <si>
    <t xml:space="preserve">039c3bef-8be1-4d9d-812d-a86a48630bcb</t>
  </si>
  <si>
    <t xml:space="preserve">PRD-MTHVKSBE285</t>
  </si>
  <si>
    <t xml:space="preserve">Kelly Double Curved Scissor 7"</t>
  </si>
  <si>
    <t xml:space="preserve">6c604907-7209-45e2-8068-4bd0b884c230</t>
  </si>
  <si>
    <t xml:space="preserve">PRD-MTHVKV1I286</t>
  </si>
  <si>
    <t xml:space="preserve">Locking Scissor 6.5"</t>
  </si>
  <si>
    <t xml:space="preserve">466ed508-05a5-4301-8fab-fba93fabc21c</t>
  </si>
  <si>
    <t xml:space="preserve">PRD-MTHVKXK9287</t>
  </si>
  <si>
    <t xml:space="preserve">Mayo Scissor 7" Curved</t>
  </si>
  <si>
    <t xml:space="preserve">76a98fed-fcce-4cb1-99ed-3164c6bba51e</t>
  </si>
  <si>
    <t xml:space="preserve">PRD-MTHVL09K288</t>
  </si>
  <si>
    <t xml:space="preserve">Mayo Scissor 8" Curved</t>
  </si>
  <si>
    <t xml:space="preserve">3c797123-26f5-44c6-a36b-c5d71fe0c377</t>
  </si>
  <si>
    <t xml:space="preserve">PRD-MTHVL365289</t>
  </si>
  <si>
    <t xml:space="preserve">Metzenbaum Scissor 7" Curved</t>
  </si>
  <si>
    <t xml:space="preserve">0da070e4-36ed-4132-9a8a-3661c92464d5</t>
  </si>
  <si>
    <t xml:space="preserve">PRD-MTHVL5OE290</t>
  </si>
  <si>
    <t xml:space="preserve">Metzenbaum Scissor 8" Straight</t>
  </si>
  <si>
    <t xml:space="preserve">c3a2e58c-f976-4c6b-9955-04cd6effc5af</t>
  </si>
  <si>
    <t xml:space="preserve">PRD-1957</t>
  </si>
  <si>
    <t xml:space="preserve">Operating Scissor 14cm Straight S/b</t>
  </si>
  <si>
    <t xml:space="preserve">Scissor</t>
  </si>
  <si>
    <t xml:space="preserve">81a34558-35f1-41d4-91bd-7dd78490c23a</t>
  </si>
  <si>
    <t xml:space="preserve">PRD-MTHVL8ED291</t>
  </si>
  <si>
    <t xml:space="preserve">Operating Scissor 5.5" Curved</t>
  </si>
  <si>
    <t xml:space="preserve">f0630ef5-958d-4352-a927-9c682f0b9829</t>
  </si>
  <si>
    <t xml:space="preserve">PRD-MTHVLB57292</t>
  </si>
  <si>
    <t xml:space="preserve">Operating Scissor 5.5" Straight Sharp</t>
  </si>
  <si>
    <t xml:space="preserve">578b8977-d58f-423a-91e6-3d9a98d28855</t>
  </si>
  <si>
    <t xml:space="preserve">PRD-MTHVLDYP293</t>
  </si>
  <si>
    <t xml:space="preserve">Operating Scissor 8" Straight</t>
  </si>
  <si>
    <t xml:space="preserve">ddfadc36-5879-49e6-93ac-4c4f3c995f89</t>
  </si>
  <si>
    <t xml:space="preserve">PRD-MTHVLGPZ294</t>
  </si>
  <si>
    <t xml:space="preserve">Paramedic Utility Scissor 5.5"</t>
  </si>
  <si>
    <t xml:space="preserve">95366e18-d36e-41f6-988b-d9c7eb239d14</t>
  </si>
  <si>
    <t xml:space="preserve">PRD-MTHVLJHD295</t>
  </si>
  <si>
    <t xml:space="preserve">Paramedic Utility Scissor 7.25"</t>
  </si>
  <si>
    <t xml:space="preserve">86c1d07c-694e-441a-8cfe-57fef6571fe0</t>
  </si>
  <si>
    <t xml:space="preserve">PRD-MTHVLM0L296</t>
  </si>
  <si>
    <t xml:space="preserve">Umbelical Cord Scissor</t>
  </si>
  <si>
    <t xml:space="preserve">8d351d4a-e51b-4b9a-873d-6e4f05ed19be</t>
  </si>
  <si>
    <t xml:space="preserve">PRD-26470FF8</t>
  </si>
  <si>
    <t xml:space="preserve">adenotonsillectomy SET</t>
  </si>
  <si>
    <t xml:space="preserve">Adenotonsillectomy Set</t>
  </si>
  <si>
    <t xml:space="preserve">Surgical Kits</t>
  </si>
  <si>
    <t xml:space="preserve">surgical_kits</t>
  </si>
  <si>
    <t xml:space="preserve">2114cdbc-076a-4b41-b6e3-dbc8d85efef4</t>
  </si>
  <si>
    <t xml:space="preserve">PRD-0924</t>
  </si>
  <si>
    <t xml:space="preserve">Bone Cement(alcasis) With Gentamycine</t>
  </si>
  <si>
    <t xml:space="preserve">0803ef78-72f6-4026-9e03-8bde24b1a529</t>
  </si>
  <si>
    <t xml:space="preserve">PRD-MTHVK2YP276</t>
  </si>
  <si>
    <t xml:space="preserve">Minor Surgery Kit</t>
  </si>
  <si>
    <t xml:space="preserve">9136ccda-11de-4bb7-833d-07035fb04b47</t>
  </si>
  <si>
    <t xml:space="preserve">PRD-E14E62DD</t>
  </si>
  <si>
    <t xml:space="preserve">TOOTH EXTRACTING FORCEPS SET 12PCS</t>
  </si>
  <si>
    <t xml:space="preserve">Dental Extraction Forceps Set</t>
  </si>
  <si>
    <t xml:space="preserve">47023a10-2226-428d-be55-55c05028f770</t>
  </si>
  <si>
    <t xml:space="preserve">PRD-MUV3PA6R</t>
  </si>
  <si>
    <t xml:space="preserve">Ultra Sound Gel 1litre</t>
  </si>
  <si>
    <t xml:space="preserve">Hala Shine Cosmetics</t>
  </si>
  <si>
    <t xml:space="preserve">Ultrasound Gel</t>
  </si>
  <si>
    <t xml:space="preserve">Liquid</t>
  </si>
  <si>
    <t xml:space="preserve">a2fb636c-4c2d-4668-82f4-daf1d846f3d3</t>
  </si>
  <si>
    <t xml:space="preserve">PRD-91A9DFDA</t>
  </si>
  <si>
    <t xml:space="preserve">GALLIPOT WITH LID LARGE</t>
  </si>
  <si>
    <t xml:space="preserve">Instrument Trays &amp; Containers</t>
  </si>
  <si>
    <t xml:space="preserve">Trays, Boxes &amp; Containers</t>
  </si>
  <si>
    <t xml:space="preserve">trays_boxes_and_containers</t>
  </si>
  <si>
    <t xml:space="preserve">ed99d0f9-3699-4571-9b31-d149bf57e684</t>
  </si>
  <si>
    <t xml:space="preserve">PRD-1AE8DDD8</t>
  </si>
  <si>
    <t xml:space="preserve">GALLIPOT WITH LID SMALL</t>
  </si>
  <si>
    <t xml:space="preserve">a266b1d0-a0e8-41f1-b43b-3f3b21eba66d</t>
  </si>
  <si>
    <t xml:space="preserve">PRD-B6E5C083</t>
  </si>
  <si>
    <t xml:space="preserve">INSTRUMENT BOX LARGE</t>
  </si>
  <si>
    <t xml:space="preserve">26f5a741-bdd7-4575-9278-22b4e6a83ac6</t>
  </si>
  <si>
    <t xml:space="preserve">PRD-C5EBBAFA</t>
  </si>
  <si>
    <t xml:space="preserve">INSTRUMENT BOX SMALL</t>
  </si>
  <si>
    <t xml:space="preserve">a0a6ff69-6716-44fb-9b88-3c6b3ebd9c26</t>
  </si>
  <si>
    <t xml:space="preserve">PRD-657C8DDE</t>
  </si>
  <si>
    <t xml:space="preserve">INSTRUMENT DRUM LARGE</t>
  </si>
  <si>
    <t xml:space="preserve">6953df0f-4e34-458d-9abc-c65a4c0dba72</t>
  </si>
  <si>
    <t xml:space="preserve">PRD-B33B12B8</t>
  </si>
  <si>
    <t xml:space="preserve">INSTRUMENT TRAY WITH LID LARGE</t>
  </si>
  <si>
    <t xml:space="preserve">44eeaeff-65e4-4a1e-ada5-0c016343a7b4</t>
  </si>
  <si>
    <t xml:space="preserve">PRD-B3DE1504</t>
  </si>
  <si>
    <t xml:space="preserve">INSTRUMENT TRAY WITH LID MEDIUM</t>
  </si>
  <si>
    <t xml:space="preserve">4f95a0d3-75ac-45a6-bb90-d1f1d166a9f7</t>
  </si>
  <si>
    <t xml:space="preserve">PRD-54DF608E</t>
  </si>
  <si>
    <t xml:space="preserve">INSTRUMENT TRAY WITH LID SMALL</t>
  </si>
  <si>
    <t xml:space="preserve">925a6198-6b8f-4c93-9ea4-e77e59bdf08a</t>
  </si>
  <si>
    <t xml:space="preserve">PRD-F4716860</t>
  </si>
  <si>
    <t xml:space="preserve">SCALER TRAY</t>
  </si>
  <si>
    <t xml:space="preserve">357b3d5c-63c8-4f3e-819b-3ec5556bb879</t>
  </si>
  <si>
    <t xml:space="preserve">Add a new value at the bottom of a list and it becomes selectable on the Products sheet.</t>
  </si>
  <si>
    <t xml:space="preserve">cosmetics</t>
  </si>
  <si>
    <t xml:space="preserve">skin_care</t>
  </si>
  <si>
    <t xml:space="preserve">moisturizer</t>
  </si>
  <si>
    <t xml:space="preserve">face_care</t>
  </si>
  <si>
    <t xml:space="preserve">body_care</t>
  </si>
  <si>
    <t xml:space="preserve">How the shop menu will look (counts update when you change the Products sheet)</t>
  </si>
  <si>
    <t xml:space="preserve">Parent Type (top menu)</t>
  </si>
  <si>
    <t xml:space="preserve">Products</t>
  </si>
  <si>
    <t xml:space="preserve">Total classified</t>
  </si>
  <si>
    <t xml:space="preserve">Total products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</si>
</sst>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2E25"/>
        <bgColor rgb="FF003366"/>
      </patternFill>
    </fill>
    <fill>
      <patternFill patternType="solid">
        <fgColor rgb="FFB45309"/>
        <bgColor rgb="FF993366"/>
      </patternFill>
    </fill>
    <fill>
      <patternFill patternType="solid">
        <fgColor rgb="FFFFF9DB"/>
        <bgColor rgb="FFFFFFFF"/>
      </patternFill>
    </fill>
    <fill>
      <patternFill patternType="solid">
        <fgColor rgb="FFDCEFE6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A2E2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DCEF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A2E25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4" min="14" style="0" width="34"/>
    <col collapsed="false" customWidth="true" hidden="false" outlineLevel="0" max="15" min="15" style="0" width="13"/>
    <col collapsed="false" customWidth="true" hidden="false" outlineLevel="0" max="16" min="16" style="0" width="46"/>
    <col collapsed="false" customWidth="true" hidden="false" outlineLevel="0" max="17" min="17" style="0" width="38"/>
  </cols>
  <sheetData>
    <row r="1" customFormat="false" ht="31.5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5" t="s">
        <v>23</v>
      </c>
      <c r="M1" s="5" t="s">
        <v>24</v>
      </c>
      <c r="N1" s="5" t="s">
        <v>25</v>
      </c>
      <c r="O1" s="4" t="s">
        <v>26</v>
      </c>
      <c r="P1" s="4" t="s">
        <v>27</v>
      </c>
      <c r="Q1" s="4" t="s">
        <v>28</v>
      </c>
    </row>
    <row r="2" customFormat="false" ht="15" hidden="false" customHeight="false" outlineLevel="0" collapsed="false">
      <c r="A2" s="6" t="s">
        <v>29</v>
      </c>
      <c r="B2" s="6" t="s">
        <v>30</v>
      </c>
      <c r="C2" s="6" t="s">
        <v>31</v>
      </c>
      <c r="D2" s="6" t="s">
        <v>32</v>
      </c>
      <c r="E2" s="6"/>
      <c r="F2" s="6" t="s">
        <v>33</v>
      </c>
      <c r="G2" s="6" t="s">
        <v>34</v>
      </c>
      <c r="H2" s="7" t="n">
        <v>4800</v>
      </c>
      <c r="I2" s="8" t="n">
        <v>50</v>
      </c>
      <c r="J2" s="9" t="n">
        <v>258.89</v>
      </c>
      <c r="K2" s="8" t="s">
        <v>35</v>
      </c>
      <c r="L2" s="10" t="s">
        <v>36</v>
      </c>
      <c r="M2" s="10" t="s">
        <v>37</v>
      </c>
      <c r="N2" s="10" t="s">
        <v>38</v>
      </c>
      <c r="O2" s="8" t="str">
        <f aca="false">IF(M2="prescription","Yes","No")</f>
        <v>No</v>
      </c>
      <c r="P2" s="6"/>
      <c r="Q2" s="6" t="s">
        <v>39</v>
      </c>
    </row>
    <row r="3" customFormat="false" ht="15" hidden="false" customHeight="false" outlineLevel="0" collapsed="false">
      <c r="A3" s="6" t="s">
        <v>40</v>
      </c>
      <c r="B3" s="6" t="s">
        <v>41</v>
      </c>
      <c r="C3" s="6" t="s">
        <v>42</v>
      </c>
      <c r="D3" s="6" t="s">
        <v>32</v>
      </c>
      <c r="E3" s="6" t="s">
        <v>43</v>
      </c>
      <c r="F3" s="6" t="s">
        <v>33</v>
      </c>
      <c r="G3" s="6" t="s">
        <v>34</v>
      </c>
      <c r="H3" s="7" t="n">
        <v>2205</v>
      </c>
      <c r="I3" s="8" t="n">
        <v>50</v>
      </c>
      <c r="J3" s="9" t="n">
        <v>258.08</v>
      </c>
      <c r="K3" s="8" t="s">
        <v>35</v>
      </c>
      <c r="L3" s="10" t="s">
        <v>36</v>
      </c>
      <c r="M3" s="10" t="s">
        <v>37</v>
      </c>
      <c r="N3" s="10" t="s">
        <v>38</v>
      </c>
      <c r="O3" s="8" t="str">
        <f aca="false">IF(M3="prescription","Yes","No")</f>
        <v>No</v>
      </c>
      <c r="P3" s="6"/>
      <c r="Q3" s="6" t="s">
        <v>44</v>
      </c>
    </row>
    <row r="4" customFormat="false" ht="15" hidden="false" customHeight="false" outlineLevel="0" collapsed="false">
      <c r="A4" s="6" t="s">
        <v>45</v>
      </c>
      <c r="B4" s="6" t="s">
        <v>46</v>
      </c>
      <c r="C4" s="6" t="s">
        <v>47</v>
      </c>
      <c r="D4" s="6" t="s">
        <v>32</v>
      </c>
      <c r="E4" s="6" t="s">
        <v>48</v>
      </c>
      <c r="F4" s="6" t="s">
        <v>33</v>
      </c>
      <c r="G4" s="6" t="s">
        <v>34</v>
      </c>
      <c r="H4" s="7" t="n">
        <v>14325</v>
      </c>
      <c r="I4" s="8" t="n">
        <v>50</v>
      </c>
      <c r="J4" s="9" t="n">
        <v>216.66</v>
      </c>
      <c r="K4" s="8" t="s">
        <v>35</v>
      </c>
      <c r="L4" s="10" t="s">
        <v>36</v>
      </c>
      <c r="M4" s="10" t="s">
        <v>37</v>
      </c>
      <c r="N4" s="10" t="s">
        <v>38</v>
      </c>
      <c r="O4" s="8" t="str">
        <f aca="false">IF(M4="prescription","Yes","No")</f>
        <v>No</v>
      </c>
      <c r="P4" s="6"/>
      <c r="Q4" s="6" t="s">
        <v>49</v>
      </c>
    </row>
    <row r="5" customFormat="false" ht="15" hidden="false" customHeight="false" outlineLevel="0" collapsed="false">
      <c r="A5" s="6" t="s">
        <v>50</v>
      </c>
      <c r="B5" s="6" t="s">
        <v>51</v>
      </c>
      <c r="C5" s="6" t="s">
        <v>52</v>
      </c>
      <c r="D5" s="6" t="s">
        <v>53</v>
      </c>
      <c r="E5" s="6"/>
      <c r="F5" s="6" t="s">
        <v>33</v>
      </c>
      <c r="G5" s="6" t="s">
        <v>54</v>
      </c>
      <c r="H5" s="7" t="n">
        <v>2</v>
      </c>
      <c r="I5" s="8" t="n">
        <v>1</v>
      </c>
      <c r="J5" s="9" t="n">
        <v>420.81</v>
      </c>
      <c r="K5" s="8" t="s">
        <v>35</v>
      </c>
      <c r="L5" s="10" t="s">
        <v>36</v>
      </c>
      <c r="M5" s="10" t="s">
        <v>37</v>
      </c>
      <c r="N5" s="10" t="s">
        <v>55</v>
      </c>
      <c r="O5" s="8" t="str">
        <f aca="false">IF(M5="prescription","Yes","No")</f>
        <v>No</v>
      </c>
      <c r="P5" s="6"/>
      <c r="Q5" s="6" t="s">
        <v>56</v>
      </c>
    </row>
    <row r="6" customFormat="false" ht="15" hidden="false" customHeight="false" outlineLevel="0" collapsed="false">
      <c r="A6" s="6" t="s">
        <v>57</v>
      </c>
      <c r="B6" s="6" t="s">
        <v>58</v>
      </c>
      <c r="C6" s="6" t="s">
        <v>59</v>
      </c>
      <c r="D6" s="6" t="s">
        <v>60</v>
      </c>
      <c r="E6" s="6" t="s">
        <v>61</v>
      </c>
      <c r="F6" s="6" t="s">
        <v>33</v>
      </c>
      <c r="G6" s="6" t="s">
        <v>62</v>
      </c>
      <c r="H6" s="7" t="n">
        <v>60</v>
      </c>
      <c r="I6" s="8" t="n">
        <v>1</v>
      </c>
      <c r="J6" s="9" t="n">
        <v>291.81</v>
      </c>
      <c r="K6" s="8" t="s">
        <v>35</v>
      </c>
      <c r="L6" s="10" t="s">
        <v>36</v>
      </c>
      <c r="M6" s="10" t="s">
        <v>37</v>
      </c>
      <c r="N6" s="10" t="s">
        <v>63</v>
      </c>
      <c r="O6" s="8" t="str">
        <f aca="false">IF(M6="prescription","Yes","No")</f>
        <v>No</v>
      </c>
      <c r="P6" s="6"/>
      <c r="Q6" s="6" t="s">
        <v>64</v>
      </c>
    </row>
    <row r="7" customFormat="false" ht="15" hidden="false" customHeight="false" outlineLevel="0" collapsed="false">
      <c r="A7" s="6" t="s">
        <v>65</v>
      </c>
      <c r="B7" s="6" t="s">
        <v>66</v>
      </c>
      <c r="C7" s="6" t="s">
        <v>59</v>
      </c>
      <c r="D7" s="6" t="s">
        <v>60</v>
      </c>
      <c r="E7" s="6" t="s">
        <v>61</v>
      </c>
      <c r="F7" s="6" t="s">
        <v>33</v>
      </c>
      <c r="G7" s="6" t="s">
        <v>62</v>
      </c>
      <c r="H7" s="7" t="n">
        <v>40</v>
      </c>
      <c r="I7" s="8" t="n">
        <v>1</v>
      </c>
      <c r="J7" s="9" t="n">
        <v>1190</v>
      </c>
      <c r="K7" s="8" t="s">
        <v>35</v>
      </c>
      <c r="L7" s="10" t="s">
        <v>36</v>
      </c>
      <c r="M7" s="10" t="s">
        <v>37</v>
      </c>
      <c r="N7" s="10" t="s">
        <v>63</v>
      </c>
      <c r="O7" s="8" t="str">
        <f aca="false">IF(M7="prescription","Yes","No")</f>
        <v>No</v>
      </c>
      <c r="P7" s="6"/>
      <c r="Q7" s="6" t="s">
        <v>67</v>
      </c>
    </row>
    <row r="8" customFormat="false" ht="15" hidden="false" customHeight="false" outlineLevel="0" collapsed="false">
      <c r="A8" s="6" t="s">
        <v>68</v>
      </c>
      <c r="B8" s="6" t="s">
        <v>69</v>
      </c>
      <c r="C8" s="6" t="s">
        <v>59</v>
      </c>
      <c r="D8" s="6" t="s">
        <v>60</v>
      </c>
      <c r="E8" s="6" t="s">
        <v>61</v>
      </c>
      <c r="F8" s="6" t="s">
        <v>33</v>
      </c>
      <c r="G8" s="6" t="s">
        <v>62</v>
      </c>
      <c r="H8" s="7" t="n">
        <v>37</v>
      </c>
      <c r="I8" s="8" t="n">
        <v>1</v>
      </c>
      <c r="J8" s="9" t="n">
        <v>247.84</v>
      </c>
      <c r="K8" s="8" t="s">
        <v>35</v>
      </c>
      <c r="L8" s="10" t="s">
        <v>36</v>
      </c>
      <c r="M8" s="10" t="s">
        <v>37</v>
      </c>
      <c r="N8" s="10" t="s">
        <v>63</v>
      </c>
      <c r="O8" s="8" t="str">
        <f aca="false">IF(M8="prescription","Yes","No")</f>
        <v>No</v>
      </c>
      <c r="P8" s="6"/>
      <c r="Q8" s="6" t="s">
        <v>70</v>
      </c>
    </row>
    <row r="9" customFormat="false" ht="15" hidden="false" customHeight="false" outlineLevel="0" collapsed="false">
      <c r="A9" s="6" t="s">
        <v>71</v>
      </c>
      <c r="B9" s="6" t="s">
        <v>72</v>
      </c>
      <c r="C9" s="6" t="s">
        <v>59</v>
      </c>
      <c r="D9" s="6" t="s">
        <v>60</v>
      </c>
      <c r="E9" s="6" t="s">
        <v>61</v>
      </c>
      <c r="F9" s="6" t="s">
        <v>33</v>
      </c>
      <c r="G9" s="6" t="s">
        <v>62</v>
      </c>
      <c r="H9" s="7" t="n">
        <v>49</v>
      </c>
      <c r="I9" s="8" t="n">
        <v>1</v>
      </c>
      <c r="J9" s="9" t="n">
        <v>1610</v>
      </c>
      <c r="K9" s="8" t="s">
        <v>35</v>
      </c>
      <c r="L9" s="10" t="s">
        <v>36</v>
      </c>
      <c r="M9" s="10" t="s">
        <v>37</v>
      </c>
      <c r="N9" s="10" t="s">
        <v>63</v>
      </c>
      <c r="O9" s="8" t="str">
        <f aca="false">IF(M9="prescription","Yes","No")</f>
        <v>No</v>
      </c>
      <c r="P9" s="6"/>
      <c r="Q9" s="6" t="s">
        <v>73</v>
      </c>
    </row>
    <row r="10" customFormat="false" ht="15" hidden="false" customHeight="false" outlineLevel="0" collapsed="false">
      <c r="A10" s="6" t="s">
        <v>74</v>
      </c>
      <c r="B10" s="6" t="s">
        <v>75</v>
      </c>
      <c r="C10" s="6" t="s">
        <v>59</v>
      </c>
      <c r="D10" s="6" t="s">
        <v>60</v>
      </c>
      <c r="E10" s="6" t="s">
        <v>61</v>
      </c>
      <c r="F10" s="6" t="s">
        <v>33</v>
      </c>
      <c r="G10" s="6" t="s">
        <v>62</v>
      </c>
      <c r="H10" s="7" t="n">
        <v>10</v>
      </c>
      <c r="I10" s="8" t="n">
        <v>1</v>
      </c>
      <c r="J10" s="9" t="n">
        <v>1610</v>
      </c>
      <c r="K10" s="8" t="s">
        <v>35</v>
      </c>
      <c r="L10" s="10" t="s">
        <v>36</v>
      </c>
      <c r="M10" s="10" t="s">
        <v>37</v>
      </c>
      <c r="N10" s="10" t="s">
        <v>63</v>
      </c>
      <c r="O10" s="8" t="str">
        <f aca="false">IF(M10="prescription","Yes","No")</f>
        <v>No</v>
      </c>
      <c r="P10" s="6"/>
      <c r="Q10" s="6" t="s">
        <v>76</v>
      </c>
    </row>
    <row r="11" customFormat="false" ht="15" hidden="false" customHeight="false" outlineLevel="0" collapsed="false">
      <c r="A11" s="6" t="s">
        <v>77</v>
      </c>
      <c r="B11" s="6" t="s">
        <v>78</v>
      </c>
      <c r="C11" s="6" t="s">
        <v>59</v>
      </c>
      <c r="D11" s="6" t="s">
        <v>60</v>
      </c>
      <c r="E11" s="6" t="s">
        <v>61</v>
      </c>
      <c r="F11" s="6" t="s">
        <v>33</v>
      </c>
      <c r="G11" s="6" t="s">
        <v>62</v>
      </c>
      <c r="H11" s="7" t="n">
        <v>36</v>
      </c>
      <c r="I11" s="8" t="n">
        <v>1</v>
      </c>
      <c r="J11" s="9" t="n">
        <v>676.42</v>
      </c>
      <c r="K11" s="8" t="s">
        <v>35</v>
      </c>
      <c r="L11" s="10" t="s">
        <v>36</v>
      </c>
      <c r="M11" s="10" t="s">
        <v>37</v>
      </c>
      <c r="N11" s="10" t="s">
        <v>63</v>
      </c>
      <c r="O11" s="8" t="str">
        <f aca="false">IF(M11="prescription","Yes","No")</f>
        <v>No</v>
      </c>
      <c r="P11" s="6"/>
      <c r="Q11" s="6" t="s">
        <v>79</v>
      </c>
    </row>
    <row r="12" customFormat="false" ht="15" hidden="false" customHeight="false" outlineLevel="0" collapsed="false">
      <c r="A12" s="6" t="s">
        <v>80</v>
      </c>
      <c r="B12" s="6" t="s">
        <v>81</v>
      </c>
      <c r="C12" s="6" t="s">
        <v>59</v>
      </c>
      <c r="D12" s="6" t="s">
        <v>60</v>
      </c>
      <c r="E12" s="6" t="s">
        <v>61</v>
      </c>
      <c r="F12" s="6" t="s">
        <v>33</v>
      </c>
      <c r="G12" s="6" t="s">
        <v>62</v>
      </c>
      <c r="H12" s="7" t="n">
        <v>16</v>
      </c>
      <c r="I12" s="8" t="n">
        <v>1</v>
      </c>
      <c r="J12" s="9" t="n">
        <v>64.04</v>
      </c>
      <c r="K12" s="8" t="s">
        <v>35</v>
      </c>
      <c r="L12" s="10" t="s">
        <v>36</v>
      </c>
      <c r="M12" s="10" t="s">
        <v>37</v>
      </c>
      <c r="N12" s="10" t="s">
        <v>63</v>
      </c>
      <c r="O12" s="8" t="str">
        <f aca="false">IF(M12="prescription","Yes","No")</f>
        <v>No</v>
      </c>
      <c r="P12" s="6"/>
      <c r="Q12" s="6" t="s">
        <v>82</v>
      </c>
    </row>
    <row r="13" customFormat="false" ht="15" hidden="false" customHeight="false" outlineLevel="0" collapsed="false">
      <c r="A13" s="6" t="s">
        <v>83</v>
      </c>
      <c r="B13" s="6" t="s">
        <v>84</v>
      </c>
      <c r="C13" s="6" t="s">
        <v>85</v>
      </c>
      <c r="D13" s="6" t="s">
        <v>86</v>
      </c>
      <c r="E13" s="6"/>
      <c r="F13" s="6" t="s">
        <v>33</v>
      </c>
      <c r="G13" s="6" t="s">
        <v>62</v>
      </c>
      <c r="H13" s="7" t="n">
        <v>0</v>
      </c>
      <c r="I13" s="8" t="n">
        <v>1</v>
      </c>
      <c r="J13" s="9" t="n">
        <v>23.8</v>
      </c>
      <c r="K13" s="8" t="s">
        <v>87</v>
      </c>
      <c r="L13" s="10" t="s">
        <v>36</v>
      </c>
      <c r="M13" s="10" t="s">
        <v>37</v>
      </c>
      <c r="N13" s="10" t="s">
        <v>88</v>
      </c>
      <c r="O13" s="8" t="str">
        <f aca="false">IF(M13="prescription","Yes","No")</f>
        <v>No</v>
      </c>
      <c r="P13" s="6" t="s">
        <v>89</v>
      </c>
      <c r="Q13" s="6" t="s">
        <v>90</v>
      </c>
    </row>
    <row r="14" customFormat="false" ht="15" hidden="false" customHeight="false" outlineLevel="0" collapsed="false">
      <c r="A14" s="6" t="s">
        <v>91</v>
      </c>
      <c r="B14" s="6" t="s">
        <v>92</v>
      </c>
      <c r="C14" s="6" t="s">
        <v>93</v>
      </c>
      <c r="D14" s="6" t="s">
        <v>94</v>
      </c>
      <c r="E14" s="6" t="s">
        <v>95</v>
      </c>
      <c r="F14" s="6" t="s">
        <v>96</v>
      </c>
      <c r="G14" s="6" t="s">
        <v>97</v>
      </c>
      <c r="H14" s="7" t="n">
        <v>58</v>
      </c>
      <c r="I14" s="8" t="n">
        <v>10</v>
      </c>
      <c r="J14" s="9" t="n">
        <v>7.19</v>
      </c>
      <c r="K14" s="8" t="s">
        <v>35</v>
      </c>
      <c r="L14" s="10" t="s">
        <v>98</v>
      </c>
      <c r="M14" s="10" t="s">
        <v>99</v>
      </c>
      <c r="N14" s="10" t="s">
        <v>100</v>
      </c>
      <c r="O14" s="8" t="str">
        <f aca="false">IF(M14="prescription","Yes","No")</f>
        <v>No</v>
      </c>
      <c r="P14" s="6"/>
      <c r="Q14" s="6" t="s">
        <v>101</v>
      </c>
    </row>
    <row r="15" customFormat="false" ht="15" hidden="false" customHeight="false" outlineLevel="0" collapsed="false">
      <c r="A15" s="6" t="s">
        <v>102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96</v>
      </c>
      <c r="G15" s="6" t="s">
        <v>97</v>
      </c>
      <c r="H15" s="7" t="n">
        <v>300</v>
      </c>
      <c r="I15" s="8" t="n">
        <v>30</v>
      </c>
      <c r="J15" s="9" t="n">
        <v>96.57</v>
      </c>
      <c r="K15" s="8" t="s">
        <v>35</v>
      </c>
      <c r="L15" s="10" t="s">
        <v>98</v>
      </c>
      <c r="M15" s="10" t="s">
        <v>99</v>
      </c>
      <c r="N15" s="10" t="s">
        <v>100</v>
      </c>
      <c r="O15" s="8" t="str">
        <f aca="false">IF(M15="prescription","Yes","No")</f>
        <v>No</v>
      </c>
      <c r="P15" s="6"/>
      <c r="Q15" s="6" t="s">
        <v>107</v>
      </c>
    </row>
    <row r="16" customFormat="false" ht="15" hidden="false" customHeight="false" outlineLevel="0" collapsed="false">
      <c r="A16" s="6" t="s">
        <v>108</v>
      </c>
      <c r="B16" s="6" t="s">
        <v>109</v>
      </c>
      <c r="C16" s="6" t="s">
        <v>110</v>
      </c>
      <c r="D16" s="6" t="s">
        <v>111</v>
      </c>
      <c r="E16" s="6" t="s">
        <v>112</v>
      </c>
      <c r="F16" s="6" t="s">
        <v>113</v>
      </c>
      <c r="G16" s="6" t="s">
        <v>114</v>
      </c>
      <c r="H16" s="7" t="n">
        <v>154</v>
      </c>
      <c r="I16" s="8" t="n">
        <v>1</v>
      </c>
      <c r="J16" s="9" t="n">
        <v>51.49</v>
      </c>
      <c r="K16" s="8" t="s">
        <v>35</v>
      </c>
      <c r="L16" s="10" t="s">
        <v>98</v>
      </c>
      <c r="M16" s="10" t="s">
        <v>99</v>
      </c>
      <c r="N16" s="10" t="s">
        <v>100</v>
      </c>
      <c r="O16" s="8" t="str">
        <f aca="false">IF(M16="prescription","Yes","No")</f>
        <v>No</v>
      </c>
      <c r="P16" s="6"/>
      <c r="Q16" s="6" t="s">
        <v>115</v>
      </c>
    </row>
    <row r="17" customFormat="false" ht="15" hidden="false" customHeight="false" outlineLevel="0" collapsed="false">
      <c r="A17" s="6" t="s">
        <v>116</v>
      </c>
      <c r="B17" s="6" t="s">
        <v>117</v>
      </c>
      <c r="C17" s="6" t="s">
        <v>118</v>
      </c>
      <c r="D17" s="6" t="s">
        <v>119</v>
      </c>
      <c r="E17" s="6" t="s">
        <v>106</v>
      </c>
      <c r="F17" s="6" t="s">
        <v>96</v>
      </c>
      <c r="G17" s="6" t="s">
        <v>120</v>
      </c>
      <c r="H17" s="7" t="n">
        <v>450</v>
      </c>
      <c r="I17" s="8" t="n">
        <v>30</v>
      </c>
      <c r="J17" s="9" t="n">
        <v>344.48</v>
      </c>
      <c r="K17" s="8" t="s">
        <v>35</v>
      </c>
      <c r="L17" s="10" t="s">
        <v>98</v>
      </c>
      <c r="M17" s="10" t="s">
        <v>99</v>
      </c>
      <c r="N17" s="10" t="s">
        <v>121</v>
      </c>
      <c r="O17" s="8" t="str">
        <f aca="false">IF(M17="prescription","Yes","No")</f>
        <v>No</v>
      </c>
      <c r="P17" s="6"/>
      <c r="Q17" s="6" t="s">
        <v>122</v>
      </c>
    </row>
    <row r="18" customFormat="false" ht="15" hidden="false" customHeight="false" outlineLevel="0" collapsed="false">
      <c r="A18" s="6" t="s">
        <v>123</v>
      </c>
      <c r="B18" s="6" t="s">
        <v>124</v>
      </c>
      <c r="C18" s="6" t="s">
        <v>125</v>
      </c>
      <c r="D18" s="6" t="s">
        <v>126</v>
      </c>
      <c r="E18" s="6" t="s">
        <v>95</v>
      </c>
      <c r="F18" s="6" t="s">
        <v>96</v>
      </c>
      <c r="G18" s="6" t="s">
        <v>120</v>
      </c>
      <c r="H18" s="7" t="n">
        <v>30</v>
      </c>
      <c r="I18" s="8" t="n">
        <v>10</v>
      </c>
      <c r="J18" s="9" t="n">
        <v>161.51</v>
      </c>
      <c r="K18" s="8" t="s">
        <v>35</v>
      </c>
      <c r="L18" s="10" t="s">
        <v>98</v>
      </c>
      <c r="M18" s="10" t="s">
        <v>99</v>
      </c>
      <c r="N18" s="10" t="s">
        <v>121</v>
      </c>
      <c r="O18" s="8" t="str">
        <f aca="false">IF(M18="prescription","Yes","No")</f>
        <v>No</v>
      </c>
      <c r="P18" s="6"/>
      <c r="Q18" s="6" t="s">
        <v>127</v>
      </c>
    </row>
    <row r="19" customFormat="false" ht="15" hidden="false" customHeight="false" outlineLevel="0" collapsed="false">
      <c r="A19" s="6" t="s">
        <v>128</v>
      </c>
      <c r="B19" s="6" t="s">
        <v>129</v>
      </c>
      <c r="C19" s="6" t="s">
        <v>118</v>
      </c>
      <c r="D19" s="6" t="s">
        <v>130</v>
      </c>
      <c r="E19" s="6" t="s">
        <v>106</v>
      </c>
      <c r="F19" s="6" t="s">
        <v>96</v>
      </c>
      <c r="G19" s="6" t="s">
        <v>131</v>
      </c>
      <c r="H19" s="7" t="n">
        <v>330</v>
      </c>
      <c r="I19" s="8" t="n">
        <v>30</v>
      </c>
      <c r="J19" s="9" t="n">
        <v>354.9</v>
      </c>
      <c r="K19" s="8" t="s">
        <v>35</v>
      </c>
      <c r="L19" s="10" t="s">
        <v>98</v>
      </c>
      <c r="M19" s="10" t="s">
        <v>99</v>
      </c>
      <c r="N19" s="10" t="s">
        <v>132</v>
      </c>
      <c r="O19" s="8" t="str">
        <f aca="false">IF(M19="prescription","Yes","No")</f>
        <v>No</v>
      </c>
      <c r="P19" s="6"/>
      <c r="Q19" s="6" t="s">
        <v>133</v>
      </c>
    </row>
    <row r="20" customFormat="false" ht="15" hidden="false" customHeight="false" outlineLevel="0" collapsed="false">
      <c r="A20" s="6" t="s">
        <v>134</v>
      </c>
      <c r="B20" s="6" t="s">
        <v>135</v>
      </c>
      <c r="C20" s="6" t="s">
        <v>118</v>
      </c>
      <c r="D20" s="6" t="s">
        <v>136</v>
      </c>
      <c r="E20" s="6" t="s">
        <v>106</v>
      </c>
      <c r="F20" s="6" t="s">
        <v>96</v>
      </c>
      <c r="G20" s="6" t="s">
        <v>131</v>
      </c>
      <c r="H20" s="7" t="n">
        <v>120</v>
      </c>
      <c r="I20" s="8" t="n">
        <v>30</v>
      </c>
      <c r="J20" s="9" t="n">
        <v>387.36</v>
      </c>
      <c r="K20" s="8" t="s">
        <v>35</v>
      </c>
      <c r="L20" s="10" t="s">
        <v>98</v>
      </c>
      <c r="M20" s="10" t="s">
        <v>99</v>
      </c>
      <c r="N20" s="10" t="s">
        <v>132</v>
      </c>
      <c r="O20" s="8" t="str">
        <f aca="false">IF(M20="prescription","Yes","No")</f>
        <v>No</v>
      </c>
      <c r="P20" s="6"/>
      <c r="Q20" s="6" t="s">
        <v>137</v>
      </c>
    </row>
    <row r="21" customFormat="false" ht="15" hidden="false" customHeight="false" outlineLevel="0" collapsed="false">
      <c r="A21" s="6" t="s">
        <v>138</v>
      </c>
      <c r="B21" s="6" t="s">
        <v>139</v>
      </c>
      <c r="C21" s="6" t="s">
        <v>140</v>
      </c>
      <c r="D21" s="6" t="s">
        <v>141</v>
      </c>
      <c r="E21" s="6" t="s">
        <v>106</v>
      </c>
      <c r="F21" s="6" t="s">
        <v>96</v>
      </c>
      <c r="G21" s="6" t="s">
        <v>142</v>
      </c>
      <c r="H21" s="7" t="n">
        <v>300</v>
      </c>
      <c r="I21" s="8" t="n">
        <v>30</v>
      </c>
      <c r="J21" s="9" t="n">
        <v>157.98</v>
      </c>
      <c r="K21" s="8" t="s">
        <v>35</v>
      </c>
      <c r="L21" s="10" t="s">
        <v>98</v>
      </c>
      <c r="M21" s="10" t="s">
        <v>99</v>
      </c>
      <c r="N21" s="10" t="s">
        <v>143</v>
      </c>
      <c r="O21" s="8" t="str">
        <f aca="false">IF(M21="prescription","Yes","No")</f>
        <v>No</v>
      </c>
      <c r="P21" s="6"/>
      <c r="Q21" s="6" t="s">
        <v>144</v>
      </c>
    </row>
    <row r="22" customFormat="false" ht="15" hidden="false" customHeight="false" outlineLevel="0" collapsed="false">
      <c r="A22" s="6" t="s">
        <v>145</v>
      </c>
      <c r="B22" s="6" t="s">
        <v>146</v>
      </c>
      <c r="C22" s="6" t="s">
        <v>147</v>
      </c>
      <c r="D22" s="6" t="s">
        <v>148</v>
      </c>
      <c r="E22" s="6" t="s">
        <v>106</v>
      </c>
      <c r="F22" s="6" t="s">
        <v>96</v>
      </c>
      <c r="G22" s="6" t="s">
        <v>149</v>
      </c>
      <c r="H22" s="7" t="n">
        <v>150</v>
      </c>
      <c r="I22" s="8" t="n">
        <v>30</v>
      </c>
      <c r="J22" s="9" t="n">
        <v>305.66</v>
      </c>
      <c r="K22" s="8" t="s">
        <v>35</v>
      </c>
      <c r="L22" s="10" t="s">
        <v>98</v>
      </c>
      <c r="M22" s="10" t="s">
        <v>99</v>
      </c>
      <c r="N22" s="10" t="s">
        <v>150</v>
      </c>
      <c r="O22" s="8" t="str">
        <f aca="false">IF(M22="prescription","Yes","No")</f>
        <v>No</v>
      </c>
      <c r="P22" s="6"/>
      <c r="Q22" s="6" t="s">
        <v>151</v>
      </c>
    </row>
    <row r="23" customFormat="false" ht="15" hidden="false" customHeight="false" outlineLevel="0" collapsed="false">
      <c r="A23" s="6" t="s">
        <v>152</v>
      </c>
      <c r="B23" s="6" t="s">
        <v>153</v>
      </c>
      <c r="C23" s="6" t="s">
        <v>140</v>
      </c>
      <c r="D23" s="6" t="s">
        <v>154</v>
      </c>
      <c r="E23" s="6" t="s">
        <v>106</v>
      </c>
      <c r="F23" s="6" t="s">
        <v>96</v>
      </c>
      <c r="G23" s="6" t="s">
        <v>149</v>
      </c>
      <c r="H23" s="7" t="n">
        <v>60</v>
      </c>
      <c r="I23" s="8" t="n">
        <v>30</v>
      </c>
      <c r="J23" s="9" t="n">
        <v>157.98</v>
      </c>
      <c r="K23" s="8" t="s">
        <v>35</v>
      </c>
      <c r="L23" s="10" t="s">
        <v>98</v>
      </c>
      <c r="M23" s="10" t="s">
        <v>99</v>
      </c>
      <c r="N23" s="10" t="s">
        <v>150</v>
      </c>
      <c r="O23" s="8" t="str">
        <f aca="false">IF(M23="prescription","Yes","No")</f>
        <v>No</v>
      </c>
      <c r="P23" s="6"/>
      <c r="Q23" s="6" t="s">
        <v>155</v>
      </c>
    </row>
    <row r="24" customFormat="false" ht="15" hidden="false" customHeight="false" outlineLevel="0" collapsed="false">
      <c r="A24" s="6" t="s">
        <v>156</v>
      </c>
      <c r="B24" s="6" t="s">
        <v>157</v>
      </c>
      <c r="C24" s="6" t="s">
        <v>140</v>
      </c>
      <c r="D24" s="6" t="s">
        <v>158</v>
      </c>
      <c r="E24" s="6" t="s">
        <v>112</v>
      </c>
      <c r="F24" s="6" t="s">
        <v>113</v>
      </c>
      <c r="G24" s="6" t="s">
        <v>159</v>
      </c>
      <c r="H24" s="7" t="n">
        <v>10</v>
      </c>
      <c r="I24" s="8" t="n">
        <v>1</v>
      </c>
      <c r="J24" s="9" t="n">
        <v>264.58</v>
      </c>
      <c r="K24" s="8" t="s">
        <v>35</v>
      </c>
      <c r="L24" s="10" t="s">
        <v>98</v>
      </c>
      <c r="M24" s="10" t="s">
        <v>99</v>
      </c>
      <c r="N24" s="10" t="s">
        <v>150</v>
      </c>
      <c r="O24" s="8" t="str">
        <f aca="false">IF(M24="prescription","Yes","No")</f>
        <v>No</v>
      </c>
      <c r="P24" s="6"/>
      <c r="Q24" s="6" t="s">
        <v>160</v>
      </c>
    </row>
    <row r="25" customFormat="false" ht="15" hidden="false" customHeight="false" outlineLevel="0" collapsed="false">
      <c r="A25" s="6" t="s">
        <v>161</v>
      </c>
      <c r="B25" s="6" t="s">
        <v>162</v>
      </c>
      <c r="C25" s="6" t="s">
        <v>93</v>
      </c>
      <c r="D25" s="6" t="s">
        <v>163</v>
      </c>
      <c r="E25" s="6" t="s">
        <v>95</v>
      </c>
      <c r="F25" s="6" t="s">
        <v>96</v>
      </c>
      <c r="G25" s="6" t="s">
        <v>97</v>
      </c>
      <c r="H25" s="7" t="n">
        <v>2946</v>
      </c>
      <c r="I25" s="8" t="n">
        <v>20</v>
      </c>
      <c r="J25" s="9" t="n">
        <v>7.98</v>
      </c>
      <c r="K25" s="8" t="s">
        <v>35</v>
      </c>
      <c r="L25" s="10" t="s">
        <v>98</v>
      </c>
      <c r="M25" s="10" t="s">
        <v>99</v>
      </c>
      <c r="N25" s="10" t="s">
        <v>164</v>
      </c>
      <c r="O25" s="8" t="str">
        <f aca="false">IF(M25="prescription","Yes","No")</f>
        <v>No</v>
      </c>
      <c r="P25" s="6"/>
      <c r="Q25" s="6" t="s">
        <v>165</v>
      </c>
    </row>
    <row r="26" customFormat="false" ht="15" hidden="false" customHeight="false" outlineLevel="0" collapsed="false">
      <c r="A26" s="6" t="s">
        <v>166</v>
      </c>
      <c r="B26" s="6" t="s">
        <v>167</v>
      </c>
      <c r="C26" s="6" t="s">
        <v>168</v>
      </c>
      <c r="D26" s="6" t="s">
        <v>169</v>
      </c>
      <c r="E26" s="6" t="s">
        <v>95</v>
      </c>
      <c r="F26" s="6" t="s">
        <v>96</v>
      </c>
      <c r="G26" s="6" t="s">
        <v>97</v>
      </c>
      <c r="H26" s="7" t="n">
        <v>3705</v>
      </c>
      <c r="I26" s="8" t="n">
        <v>10</v>
      </c>
      <c r="J26" s="9" t="n">
        <v>12.75</v>
      </c>
      <c r="K26" s="8" t="s">
        <v>35</v>
      </c>
      <c r="L26" s="10" t="s">
        <v>98</v>
      </c>
      <c r="M26" s="10" t="s">
        <v>99</v>
      </c>
      <c r="N26" s="10" t="s">
        <v>164</v>
      </c>
      <c r="O26" s="8" t="str">
        <f aca="false">IF(M26="prescription","Yes","No")</f>
        <v>No</v>
      </c>
      <c r="P26" s="6"/>
      <c r="Q26" s="6" t="s">
        <v>170</v>
      </c>
    </row>
    <row r="27" customFormat="false" ht="15" hidden="false" customHeight="false" outlineLevel="0" collapsed="false">
      <c r="A27" s="6" t="s">
        <v>171</v>
      </c>
      <c r="B27" s="6" t="s">
        <v>172</v>
      </c>
      <c r="C27" s="6" t="s">
        <v>140</v>
      </c>
      <c r="D27" s="6" t="s">
        <v>173</v>
      </c>
      <c r="E27" s="6" t="s">
        <v>106</v>
      </c>
      <c r="F27" s="6" t="s">
        <v>96</v>
      </c>
      <c r="G27" s="6" t="s">
        <v>174</v>
      </c>
      <c r="H27" s="7" t="n">
        <v>270</v>
      </c>
      <c r="I27" s="8" t="n">
        <v>30</v>
      </c>
      <c r="J27" s="9" t="n">
        <v>240.03</v>
      </c>
      <c r="K27" s="8" t="s">
        <v>35</v>
      </c>
      <c r="L27" s="10" t="s">
        <v>98</v>
      </c>
      <c r="M27" s="10" t="s">
        <v>99</v>
      </c>
      <c r="N27" s="10" t="s">
        <v>175</v>
      </c>
      <c r="O27" s="8" t="str">
        <f aca="false">IF(M27="prescription","Yes","No")</f>
        <v>No</v>
      </c>
      <c r="P27" s="6"/>
      <c r="Q27" s="6" t="s">
        <v>176</v>
      </c>
    </row>
    <row r="28" customFormat="false" ht="15" hidden="false" customHeight="false" outlineLevel="0" collapsed="false">
      <c r="A28" s="6" t="s">
        <v>177</v>
      </c>
      <c r="B28" s="6" t="s">
        <v>178</v>
      </c>
      <c r="C28" s="6" t="s">
        <v>179</v>
      </c>
      <c r="D28" s="6" t="s">
        <v>180</v>
      </c>
      <c r="E28" s="6" t="s">
        <v>181</v>
      </c>
      <c r="F28" s="6" t="s">
        <v>182</v>
      </c>
      <c r="G28" s="6" t="s">
        <v>183</v>
      </c>
      <c r="H28" s="7" t="n">
        <v>158</v>
      </c>
      <c r="I28" s="8" t="n">
        <v>1</v>
      </c>
      <c r="J28" s="9" t="n">
        <v>1</v>
      </c>
      <c r="K28" s="8" t="s">
        <v>35</v>
      </c>
      <c r="L28" s="10" t="s">
        <v>98</v>
      </c>
      <c r="M28" s="10" t="s">
        <v>184</v>
      </c>
      <c r="N28" s="10" t="s">
        <v>185</v>
      </c>
      <c r="O28" s="8" t="str">
        <f aca="false">IF(M28="prescription","Yes","No")</f>
        <v>No</v>
      </c>
      <c r="P28" s="6"/>
      <c r="Q28" s="6" t="s">
        <v>186</v>
      </c>
    </row>
    <row r="29" customFormat="false" ht="15" hidden="false" customHeight="false" outlineLevel="0" collapsed="false">
      <c r="A29" s="6" t="s">
        <v>187</v>
      </c>
      <c r="B29" s="6" t="s">
        <v>188</v>
      </c>
      <c r="C29" s="6" t="s">
        <v>189</v>
      </c>
      <c r="D29" s="6" t="s">
        <v>190</v>
      </c>
      <c r="E29" s="6" t="s">
        <v>95</v>
      </c>
      <c r="F29" s="6" t="s">
        <v>182</v>
      </c>
      <c r="G29" s="6" t="s">
        <v>183</v>
      </c>
      <c r="H29" s="7" t="n">
        <v>500</v>
      </c>
      <c r="I29" s="8" t="n">
        <v>10</v>
      </c>
      <c r="J29" s="9" t="n">
        <v>71.83</v>
      </c>
      <c r="K29" s="8" t="s">
        <v>35</v>
      </c>
      <c r="L29" s="10" t="s">
        <v>98</v>
      </c>
      <c r="M29" s="10" t="s">
        <v>184</v>
      </c>
      <c r="N29" s="10" t="s">
        <v>185</v>
      </c>
      <c r="O29" s="8" t="str">
        <f aca="false">IF(M29="prescription","Yes","No")</f>
        <v>No</v>
      </c>
      <c r="P29" s="6"/>
      <c r="Q29" s="6" t="s">
        <v>191</v>
      </c>
    </row>
    <row r="30" customFormat="false" ht="15" hidden="false" customHeight="false" outlineLevel="0" collapsed="false">
      <c r="A30" s="6" t="s">
        <v>192</v>
      </c>
      <c r="B30" s="6" t="s">
        <v>193</v>
      </c>
      <c r="C30" s="6" t="s">
        <v>194</v>
      </c>
      <c r="D30" s="6" t="s">
        <v>195</v>
      </c>
      <c r="E30" s="6" t="s">
        <v>95</v>
      </c>
      <c r="F30" s="6" t="s">
        <v>182</v>
      </c>
      <c r="G30" s="6" t="s">
        <v>183</v>
      </c>
      <c r="H30" s="7" t="n">
        <v>1188</v>
      </c>
      <c r="I30" s="8" t="n">
        <v>10</v>
      </c>
      <c r="J30" s="9" t="n">
        <v>10.57</v>
      </c>
      <c r="K30" s="8" t="s">
        <v>35</v>
      </c>
      <c r="L30" s="10" t="s">
        <v>98</v>
      </c>
      <c r="M30" s="10" t="s">
        <v>184</v>
      </c>
      <c r="N30" s="10" t="s">
        <v>185</v>
      </c>
      <c r="O30" s="8" t="str">
        <f aca="false">IF(M30="prescription","Yes","No")</f>
        <v>No</v>
      </c>
      <c r="P30" s="6"/>
      <c r="Q30" s="6" t="s">
        <v>196</v>
      </c>
    </row>
    <row r="31" customFormat="false" ht="15" hidden="false" customHeight="false" outlineLevel="0" collapsed="false">
      <c r="A31" s="6" t="s">
        <v>197</v>
      </c>
      <c r="B31" s="6" t="s">
        <v>198</v>
      </c>
      <c r="C31" s="6" t="s">
        <v>199</v>
      </c>
      <c r="D31" s="6" t="s">
        <v>200</v>
      </c>
      <c r="E31" s="6" t="s">
        <v>112</v>
      </c>
      <c r="F31" s="6" t="s">
        <v>201</v>
      </c>
      <c r="G31" s="6" t="s">
        <v>202</v>
      </c>
      <c r="H31" s="7" t="n">
        <v>10</v>
      </c>
      <c r="I31" s="8" t="n">
        <v>1</v>
      </c>
      <c r="J31" s="9" t="n">
        <v>75.8</v>
      </c>
      <c r="K31" s="8" t="s">
        <v>35</v>
      </c>
      <c r="L31" s="10" t="s">
        <v>98</v>
      </c>
      <c r="M31" s="10" t="s">
        <v>184</v>
      </c>
      <c r="N31" s="10" t="s">
        <v>185</v>
      </c>
      <c r="O31" s="8" t="str">
        <f aca="false">IF(M31="prescription","Yes","No")</f>
        <v>No</v>
      </c>
      <c r="P31" s="6"/>
      <c r="Q31" s="6" t="s">
        <v>203</v>
      </c>
    </row>
    <row r="32" customFormat="false" ht="15" hidden="false" customHeight="false" outlineLevel="0" collapsed="false">
      <c r="A32" s="6" t="s">
        <v>204</v>
      </c>
      <c r="B32" s="6" t="s">
        <v>205</v>
      </c>
      <c r="C32" s="6" t="s">
        <v>93</v>
      </c>
      <c r="D32" s="6" t="s">
        <v>206</v>
      </c>
      <c r="E32" s="6" t="s">
        <v>112</v>
      </c>
      <c r="F32" s="6" t="s">
        <v>201</v>
      </c>
      <c r="G32" s="6" t="s">
        <v>183</v>
      </c>
      <c r="H32" s="7" t="n">
        <v>106</v>
      </c>
      <c r="I32" s="8" t="n">
        <v>1</v>
      </c>
      <c r="J32" s="9" t="n">
        <v>9.79</v>
      </c>
      <c r="K32" s="8" t="s">
        <v>35</v>
      </c>
      <c r="L32" s="10" t="s">
        <v>98</v>
      </c>
      <c r="M32" s="10" t="s">
        <v>184</v>
      </c>
      <c r="N32" s="10" t="s">
        <v>185</v>
      </c>
      <c r="O32" s="8" t="str">
        <f aca="false">IF(M32="prescription","Yes","No")</f>
        <v>No</v>
      </c>
      <c r="P32" s="6"/>
      <c r="Q32" s="6" t="s">
        <v>207</v>
      </c>
    </row>
    <row r="33" customFormat="false" ht="15" hidden="false" customHeight="false" outlineLevel="0" collapsed="false">
      <c r="A33" s="6" t="s">
        <v>208</v>
      </c>
      <c r="B33" s="6" t="s">
        <v>209</v>
      </c>
      <c r="C33" s="6" t="s">
        <v>210</v>
      </c>
      <c r="D33" s="6" t="s">
        <v>211</v>
      </c>
      <c r="E33" s="6" t="s">
        <v>112</v>
      </c>
      <c r="F33" s="6" t="s">
        <v>201</v>
      </c>
      <c r="G33" s="6" t="s">
        <v>202</v>
      </c>
      <c r="H33" s="7" t="n">
        <v>34</v>
      </c>
      <c r="I33" s="8" t="n">
        <v>1</v>
      </c>
      <c r="J33" s="9" t="n">
        <v>21.64</v>
      </c>
      <c r="K33" s="8" t="s">
        <v>35</v>
      </c>
      <c r="L33" s="10" t="s">
        <v>98</v>
      </c>
      <c r="M33" s="10" t="s">
        <v>184</v>
      </c>
      <c r="N33" s="10" t="s">
        <v>185</v>
      </c>
      <c r="O33" s="8" t="str">
        <f aca="false">IF(M33="prescription","Yes","No")</f>
        <v>No</v>
      </c>
      <c r="P33" s="6"/>
      <c r="Q33" s="6" t="s">
        <v>212</v>
      </c>
    </row>
    <row r="34" customFormat="false" ht="15" hidden="false" customHeight="false" outlineLevel="0" collapsed="false">
      <c r="A34" s="6" t="s">
        <v>213</v>
      </c>
      <c r="B34" s="6" t="s">
        <v>214</v>
      </c>
      <c r="C34" s="6" t="s">
        <v>210</v>
      </c>
      <c r="D34" s="6" t="s">
        <v>215</v>
      </c>
      <c r="E34" s="6" t="s">
        <v>112</v>
      </c>
      <c r="F34" s="6" t="s">
        <v>201</v>
      </c>
      <c r="G34" s="6" t="s">
        <v>202</v>
      </c>
      <c r="H34" s="7" t="n">
        <v>42</v>
      </c>
      <c r="I34" s="8" t="n">
        <v>1</v>
      </c>
      <c r="J34" s="9" t="n">
        <v>21.64</v>
      </c>
      <c r="K34" s="8" t="s">
        <v>35</v>
      </c>
      <c r="L34" s="10" t="s">
        <v>98</v>
      </c>
      <c r="M34" s="10" t="s">
        <v>184</v>
      </c>
      <c r="N34" s="10" t="s">
        <v>185</v>
      </c>
      <c r="O34" s="8" t="str">
        <f aca="false">IF(M34="prescription","Yes","No")</f>
        <v>No</v>
      </c>
      <c r="P34" s="6"/>
      <c r="Q34" s="6" t="s">
        <v>216</v>
      </c>
    </row>
    <row r="35" customFormat="false" ht="15" hidden="false" customHeight="false" outlineLevel="0" collapsed="false">
      <c r="A35" s="6" t="s">
        <v>217</v>
      </c>
      <c r="B35" s="6" t="s">
        <v>218</v>
      </c>
      <c r="C35" s="6" t="s">
        <v>210</v>
      </c>
      <c r="D35" s="6" t="s">
        <v>219</v>
      </c>
      <c r="E35" s="6" t="s">
        <v>112</v>
      </c>
      <c r="F35" s="6" t="s">
        <v>201</v>
      </c>
      <c r="G35" s="6" t="s">
        <v>202</v>
      </c>
      <c r="H35" s="7" t="n">
        <v>127</v>
      </c>
      <c r="I35" s="8" t="n">
        <v>1</v>
      </c>
      <c r="J35" s="9" t="n">
        <v>22.38</v>
      </c>
      <c r="K35" s="8" t="s">
        <v>35</v>
      </c>
      <c r="L35" s="10" t="s">
        <v>98</v>
      </c>
      <c r="M35" s="10" t="s">
        <v>184</v>
      </c>
      <c r="N35" s="10" t="s">
        <v>185</v>
      </c>
      <c r="O35" s="8" t="str">
        <f aca="false">IF(M35="prescription","Yes","No")</f>
        <v>No</v>
      </c>
      <c r="P35" s="6"/>
      <c r="Q35" s="6" t="s">
        <v>220</v>
      </c>
    </row>
    <row r="36" customFormat="false" ht="15" hidden="false" customHeight="false" outlineLevel="0" collapsed="false">
      <c r="A36" s="6" t="s">
        <v>221</v>
      </c>
      <c r="B36" s="6" t="s">
        <v>222</v>
      </c>
      <c r="C36" s="6" t="s">
        <v>118</v>
      </c>
      <c r="D36" s="6" t="s">
        <v>223</v>
      </c>
      <c r="E36" s="6" t="s">
        <v>95</v>
      </c>
      <c r="F36" s="6" t="s">
        <v>182</v>
      </c>
      <c r="G36" s="6" t="s">
        <v>224</v>
      </c>
      <c r="H36" s="7" t="n">
        <v>380</v>
      </c>
      <c r="I36" s="8" t="n">
        <v>12</v>
      </c>
      <c r="J36" s="9" t="n">
        <v>25.69</v>
      </c>
      <c r="K36" s="8" t="s">
        <v>35</v>
      </c>
      <c r="L36" s="10" t="s">
        <v>98</v>
      </c>
      <c r="M36" s="10" t="s">
        <v>184</v>
      </c>
      <c r="N36" s="10" t="s">
        <v>185</v>
      </c>
      <c r="O36" s="8" t="str">
        <f aca="false">IF(M36="prescription","Yes","No")</f>
        <v>No</v>
      </c>
      <c r="P36" s="6"/>
      <c r="Q36" s="6" t="s">
        <v>225</v>
      </c>
    </row>
    <row r="37" customFormat="false" ht="15" hidden="false" customHeight="false" outlineLevel="0" collapsed="false">
      <c r="A37" s="6" t="s">
        <v>226</v>
      </c>
      <c r="B37" s="6" t="s">
        <v>227</v>
      </c>
      <c r="C37" s="6" t="s">
        <v>228</v>
      </c>
      <c r="D37" s="6" t="s">
        <v>229</v>
      </c>
      <c r="E37" s="6" t="s">
        <v>112</v>
      </c>
      <c r="F37" s="6" t="s">
        <v>201</v>
      </c>
      <c r="G37" s="6" t="s">
        <v>202</v>
      </c>
      <c r="H37" s="7" t="n">
        <v>47</v>
      </c>
      <c r="I37" s="8" t="n">
        <v>1</v>
      </c>
      <c r="J37" s="9" t="n">
        <v>26.74</v>
      </c>
      <c r="K37" s="8" t="s">
        <v>35</v>
      </c>
      <c r="L37" s="10" t="s">
        <v>98</v>
      </c>
      <c r="M37" s="10" t="s">
        <v>184</v>
      </c>
      <c r="N37" s="10" t="s">
        <v>185</v>
      </c>
      <c r="O37" s="8" t="str">
        <f aca="false">IF(M37="prescription","Yes","No")</f>
        <v>No</v>
      </c>
      <c r="P37" s="6"/>
      <c r="Q37" s="6" t="s">
        <v>230</v>
      </c>
    </row>
    <row r="38" customFormat="false" ht="15" hidden="false" customHeight="false" outlineLevel="0" collapsed="false">
      <c r="A38" s="6" t="s">
        <v>231</v>
      </c>
      <c r="B38" s="6" t="s">
        <v>232</v>
      </c>
      <c r="C38" s="6" t="s">
        <v>168</v>
      </c>
      <c r="D38" s="6" t="s">
        <v>233</v>
      </c>
      <c r="E38" s="6" t="s">
        <v>112</v>
      </c>
      <c r="F38" s="6" t="s">
        <v>201</v>
      </c>
      <c r="G38" s="6" t="s">
        <v>234</v>
      </c>
      <c r="H38" s="7" t="n">
        <v>7</v>
      </c>
      <c r="I38" s="8" t="n">
        <v>1</v>
      </c>
      <c r="J38" s="9" t="n">
        <v>38.65</v>
      </c>
      <c r="K38" s="8" t="s">
        <v>35</v>
      </c>
      <c r="L38" s="10" t="s">
        <v>98</v>
      </c>
      <c r="M38" s="10" t="s">
        <v>184</v>
      </c>
      <c r="N38" s="10" t="s">
        <v>185</v>
      </c>
      <c r="O38" s="8" t="str">
        <f aca="false">IF(M38="prescription","Yes","No")</f>
        <v>No</v>
      </c>
      <c r="P38" s="6"/>
      <c r="Q38" s="6" t="s">
        <v>235</v>
      </c>
    </row>
    <row r="39" customFormat="false" ht="15" hidden="false" customHeight="false" outlineLevel="0" collapsed="false">
      <c r="A39" s="6" t="s">
        <v>236</v>
      </c>
      <c r="B39" s="6" t="s">
        <v>237</v>
      </c>
      <c r="C39" s="6" t="s">
        <v>168</v>
      </c>
      <c r="D39" s="6" t="s">
        <v>238</v>
      </c>
      <c r="E39" s="6" t="s">
        <v>112</v>
      </c>
      <c r="F39" s="6" t="s">
        <v>201</v>
      </c>
      <c r="G39" s="6" t="s">
        <v>239</v>
      </c>
      <c r="H39" s="7" t="n">
        <v>4</v>
      </c>
      <c r="I39" s="8" t="n">
        <v>1</v>
      </c>
      <c r="J39" s="9" t="n">
        <v>38.65</v>
      </c>
      <c r="K39" s="8" t="s">
        <v>35</v>
      </c>
      <c r="L39" s="10" t="s">
        <v>98</v>
      </c>
      <c r="M39" s="10" t="s">
        <v>184</v>
      </c>
      <c r="N39" s="10" t="s">
        <v>185</v>
      </c>
      <c r="O39" s="8" t="str">
        <f aca="false">IF(M39="prescription","Yes","No")</f>
        <v>No</v>
      </c>
      <c r="P39" s="6"/>
      <c r="Q39" s="6" t="s">
        <v>240</v>
      </c>
    </row>
    <row r="40" customFormat="false" ht="15" hidden="false" customHeight="false" outlineLevel="0" collapsed="false">
      <c r="A40" s="6" t="s">
        <v>241</v>
      </c>
      <c r="B40" s="6" t="s">
        <v>242</v>
      </c>
      <c r="C40" s="6" t="s">
        <v>93</v>
      </c>
      <c r="D40" s="6" t="s">
        <v>243</v>
      </c>
      <c r="E40" s="6" t="s">
        <v>112</v>
      </c>
      <c r="F40" s="6" t="s">
        <v>244</v>
      </c>
      <c r="G40" s="6" t="s">
        <v>245</v>
      </c>
      <c r="H40" s="7" t="n">
        <v>115</v>
      </c>
      <c r="I40" s="8" t="n">
        <v>1</v>
      </c>
      <c r="J40" s="9" t="n">
        <v>29.51</v>
      </c>
      <c r="K40" s="8" t="s">
        <v>35</v>
      </c>
      <c r="L40" s="10" t="s">
        <v>98</v>
      </c>
      <c r="M40" s="10" t="s">
        <v>184</v>
      </c>
      <c r="N40" s="10" t="s">
        <v>246</v>
      </c>
      <c r="O40" s="8" t="str">
        <f aca="false">IF(M40="prescription","Yes","No")</f>
        <v>No</v>
      </c>
      <c r="P40" s="6"/>
      <c r="Q40" s="6" t="s">
        <v>247</v>
      </c>
    </row>
    <row r="41" customFormat="false" ht="15" hidden="false" customHeight="false" outlineLevel="0" collapsed="false">
      <c r="A41" s="6" t="s">
        <v>248</v>
      </c>
      <c r="B41" s="6" t="s">
        <v>249</v>
      </c>
      <c r="C41" s="6" t="s">
        <v>250</v>
      </c>
      <c r="D41" s="6" t="s">
        <v>251</v>
      </c>
      <c r="E41" s="6" t="s">
        <v>95</v>
      </c>
      <c r="F41" s="6" t="s">
        <v>252</v>
      </c>
      <c r="G41" s="6" t="s">
        <v>253</v>
      </c>
      <c r="H41" s="7" t="n">
        <v>184</v>
      </c>
      <c r="I41" s="8" t="n">
        <v>10</v>
      </c>
      <c r="J41" s="9" t="n">
        <v>4.6</v>
      </c>
      <c r="K41" s="8" t="s">
        <v>35</v>
      </c>
      <c r="L41" s="10" t="s">
        <v>98</v>
      </c>
      <c r="M41" s="10" t="s">
        <v>184</v>
      </c>
      <c r="N41" s="10" t="s">
        <v>246</v>
      </c>
      <c r="O41" s="8" t="str">
        <f aca="false">IF(M41="prescription","Yes","No")</f>
        <v>No</v>
      </c>
      <c r="P41" s="6"/>
      <c r="Q41" s="6" t="s">
        <v>254</v>
      </c>
    </row>
    <row r="42" customFormat="false" ht="15" hidden="false" customHeight="false" outlineLevel="0" collapsed="false">
      <c r="A42" s="6" t="s">
        <v>255</v>
      </c>
      <c r="B42" s="6" t="s">
        <v>256</v>
      </c>
      <c r="C42" s="6" t="s">
        <v>257</v>
      </c>
      <c r="D42" s="6" t="s">
        <v>258</v>
      </c>
      <c r="E42" s="6" t="s">
        <v>112</v>
      </c>
      <c r="F42" s="6" t="s">
        <v>244</v>
      </c>
      <c r="G42" s="6" t="s">
        <v>253</v>
      </c>
      <c r="H42" s="7" t="n">
        <v>28</v>
      </c>
      <c r="I42" s="8" t="n">
        <v>1</v>
      </c>
      <c r="J42" s="9" t="n">
        <v>121.47</v>
      </c>
      <c r="K42" s="8" t="s">
        <v>35</v>
      </c>
      <c r="L42" s="10" t="s">
        <v>98</v>
      </c>
      <c r="M42" s="10" t="s">
        <v>184</v>
      </c>
      <c r="N42" s="10" t="s">
        <v>246</v>
      </c>
      <c r="O42" s="8" t="str">
        <f aca="false">IF(M42="prescription","Yes","No")</f>
        <v>No</v>
      </c>
      <c r="P42" s="6"/>
      <c r="Q42" s="6" t="s">
        <v>259</v>
      </c>
    </row>
    <row r="43" customFormat="false" ht="15" hidden="false" customHeight="false" outlineLevel="0" collapsed="false">
      <c r="A43" s="6" t="s">
        <v>260</v>
      </c>
      <c r="B43" s="6" t="s">
        <v>261</v>
      </c>
      <c r="C43" s="6" t="s">
        <v>262</v>
      </c>
      <c r="D43" s="6" t="s">
        <v>263</v>
      </c>
      <c r="E43" s="6" t="s">
        <v>264</v>
      </c>
      <c r="F43" s="6" t="s">
        <v>252</v>
      </c>
      <c r="G43" s="6" t="s">
        <v>253</v>
      </c>
      <c r="H43" s="7" t="n">
        <v>11</v>
      </c>
      <c r="I43" s="8" t="n">
        <v>1</v>
      </c>
      <c r="J43" s="9" t="n">
        <v>74.29</v>
      </c>
      <c r="K43" s="8" t="s">
        <v>35</v>
      </c>
      <c r="L43" s="10" t="s">
        <v>98</v>
      </c>
      <c r="M43" s="10" t="s">
        <v>184</v>
      </c>
      <c r="N43" s="10" t="s">
        <v>246</v>
      </c>
      <c r="O43" s="8" t="str">
        <f aca="false">IF(M43="prescription","Yes","No")</f>
        <v>No</v>
      </c>
      <c r="P43" s="6"/>
      <c r="Q43" s="6" t="s">
        <v>265</v>
      </c>
    </row>
    <row r="44" customFormat="false" ht="15" hidden="false" customHeight="false" outlineLevel="0" collapsed="false">
      <c r="A44" s="6" t="s">
        <v>266</v>
      </c>
      <c r="B44" s="6" t="s">
        <v>267</v>
      </c>
      <c r="C44" s="6" t="s">
        <v>268</v>
      </c>
      <c r="D44" s="6" t="s">
        <v>269</v>
      </c>
      <c r="E44" s="6" t="s">
        <v>95</v>
      </c>
      <c r="F44" s="6" t="s">
        <v>252</v>
      </c>
      <c r="G44" s="6" t="s">
        <v>270</v>
      </c>
      <c r="H44" s="7" t="n">
        <v>1965</v>
      </c>
      <c r="I44" s="8" t="n">
        <v>10</v>
      </c>
      <c r="J44" s="9" t="n">
        <v>2.4</v>
      </c>
      <c r="K44" s="8" t="s">
        <v>35</v>
      </c>
      <c r="L44" s="10" t="s">
        <v>98</v>
      </c>
      <c r="M44" s="10" t="s">
        <v>184</v>
      </c>
      <c r="N44" s="10" t="s">
        <v>246</v>
      </c>
      <c r="O44" s="8" t="str">
        <f aca="false">IF(M44="prescription","Yes","No")</f>
        <v>No</v>
      </c>
      <c r="P44" s="6" t="s">
        <v>271</v>
      </c>
      <c r="Q44" s="6" t="s">
        <v>272</v>
      </c>
    </row>
    <row r="45" customFormat="false" ht="15" hidden="false" customHeight="false" outlineLevel="0" collapsed="false">
      <c r="A45" s="6" t="s">
        <v>273</v>
      </c>
      <c r="B45" s="6" t="s">
        <v>274</v>
      </c>
      <c r="C45" s="6" t="s">
        <v>275</v>
      </c>
      <c r="D45" s="6" t="s">
        <v>276</v>
      </c>
      <c r="E45" s="6" t="s">
        <v>264</v>
      </c>
      <c r="F45" s="6" t="s">
        <v>252</v>
      </c>
      <c r="G45" s="6" t="s">
        <v>277</v>
      </c>
      <c r="H45" s="7" t="n">
        <v>521</v>
      </c>
      <c r="I45" s="8" t="n">
        <v>1</v>
      </c>
      <c r="J45" s="9" t="n">
        <v>5.27</v>
      </c>
      <c r="K45" s="8" t="s">
        <v>35</v>
      </c>
      <c r="L45" s="10" t="s">
        <v>98</v>
      </c>
      <c r="M45" s="10" t="s">
        <v>184</v>
      </c>
      <c r="N45" s="10" t="s">
        <v>246</v>
      </c>
      <c r="O45" s="8" t="str">
        <f aca="false">IF(M45="prescription","Yes","No")</f>
        <v>No</v>
      </c>
      <c r="P45" s="6"/>
      <c r="Q45" s="6" t="s">
        <v>278</v>
      </c>
    </row>
    <row r="46" customFormat="false" ht="15" hidden="false" customHeight="false" outlineLevel="0" collapsed="false">
      <c r="A46" s="6" t="s">
        <v>279</v>
      </c>
      <c r="B46" s="6" t="s">
        <v>280</v>
      </c>
      <c r="C46" s="6" t="s">
        <v>281</v>
      </c>
      <c r="D46" s="6" t="s">
        <v>282</v>
      </c>
      <c r="E46" s="6" t="s">
        <v>112</v>
      </c>
      <c r="F46" s="6" t="s">
        <v>244</v>
      </c>
      <c r="G46" s="6" t="s">
        <v>253</v>
      </c>
      <c r="H46" s="7" t="n">
        <v>215</v>
      </c>
      <c r="I46" s="8" t="n">
        <v>1</v>
      </c>
      <c r="J46" s="9" t="n">
        <v>62.17</v>
      </c>
      <c r="K46" s="8" t="s">
        <v>35</v>
      </c>
      <c r="L46" s="10" t="s">
        <v>98</v>
      </c>
      <c r="M46" s="10" t="s">
        <v>184</v>
      </c>
      <c r="N46" s="10" t="s">
        <v>246</v>
      </c>
      <c r="O46" s="8" t="str">
        <f aca="false">IF(M46="prescription","Yes","No")</f>
        <v>No</v>
      </c>
      <c r="P46" s="6"/>
      <c r="Q46" s="6" t="s">
        <v>283</v>
      </c>
    </row>
    <row r="47" customFormat="false" ht="15" hidden="false" customHeight="false" outlineLevel="0" collapsed="false">
      <c r="A47" s="6" t="s">
        <v>284</v>
      </c>
      <c r="B47" s="6" t="s">
        <v>285</v>
      </c>
      <c r="C47" s="6" t="s">
        <v>140</v>
      </c>
      <c r="D47" s="6" t="s">
        <v>286</v>
      </c>
      <c r="E47" s="6" t="s">
        <v>264</v>
      </c>
      <c r="F47" s="6" t="s">
        <v>252</v>
      </c>
      <c r="G47" s="6" t="s">
        <v>253</v>
      </c>
      <c r="H47" s="7" t="n">
        <v>10</v>
      </c>
      <c r="I47" s="8" t="n">
        <v>1</v>
      </c>
      <c r="J47" s="9" t="n">
        <v>264.58</v>
      </c>
      <c r="K47" s="8" t="s">
        <v>35</v>
      </c>
      <c r="L47" s="10" t="s">
        <v>98</v>
      </c>
      <c r="M47" s="10" t="s">
        <v>184</v>
      </c>
      <c r="N47" s="10" t="s">
        <v>246</v>
      </c>
      <c r="O47" s="8" t="str">
        <f aca="false">IF(M47="prescription","Yes","No")</f>
        <v>No</v>
      </c>
      <c r="P47" s="6"/>
      <c r="Q47" s="6" t="s">
        <v>287</v>
      </c>
    </row>
    <row r="48" customFormat="false" ht="15" hidden="false" customHeight="false" outlineLevel="0" collapsed="false">
      <c r="A48" s="6" t="s">
        <v>288</v>
      </c>
      <c r="B48" s="6" t="s">
        <v>289</v>
      </c>
      <c r="C48" s="6" t="s">
        <v>290</v>
      </c>
      <c r="D48" s="6" t="s">
        <v>291</v>
      </c>
      <c r="E48" s="6" t="s">
        <v>292</v>
      </c>
      <c r="F48" s="6" t="s">
        <v>293</v>
      </c>
      <c r="G48" s="6" t="s">
        <v>294</v>
      </c>
      <c r="H48" s="7" t="n">
        <v>106</v>
      </c>
      <c r="I48" s="8" t="n">
        <v>1</v>
      </c>
      <c r="J48" s="9" t="n">
        <v>16.31</v>
      </c>
      <c r="K48" s="8" t="s">
        <v>35</v>
      </c>
      <c r="L48" s="10" t="s">
        <v>98</v>
      </c>
      <c r="M48" s="10" t="s">
        <v>184</v>
      </c>
      <c r="N48" s="10" t="s">
        <v>295</v>
      </c>
      <c r="O48" s="8" t="str">
        <f aca="false">IF(M48="prescription","Yes","No")</f>
        <v>No</v>
      </c>
      <c r="P48" s="6"/>
      <c r="Q48" s="6" t="s">
        <v>296</v>
      </c>
    </row>
    <row r="49" customFormat="false" ht="15" hidden="false" customHeight="false" outlineLevel="0" collapsed="false">
      <c r="A49" s="6" t="s">
        <v>297</v>
      </c>
      <c r="B49" s="6" t="s">
        <v>298</v>
      </c>
      <c r="C49" s="6" t="s">
        <v>299</v>
      </c>
      <c r="D49" s="6" t="s">
        <v>300</v>
      </c>
      <c r="E49" s="6" t="s">
        <v>301</v>
      </c>
      <c r="F49" s="6" t="s">
        <v>302</v>
      </c>
      <c r="G49" s="6" t="s">
        <v>303</v>
      </c>
      <c r="H49" s="7" t="n">
        <v>122</v>
      </c>
      <c r="I49" s="8" t="n">
        <v>1</v>
      </c>
      <c r="J49" s="9" t="n">
        <v>58.7</v>
      </c>
      <c r="K49" s="8" t="s">
        <v>35</v>
      </c>
      <c r="L49" s="10" t="s">
        <v>98</v>
      </c>
      <c r="M49" s="10" t="s">
        <v>184</v>
      </c>
      <c r="N49" s="10" t="s">
        <v>295</v>
      </c>
      <c r="O49" s="8" t="str">
        <f aca="false">IF(M49="prescription","Yes","No")</f>
        <v>No</v>
      </c>
      <c r="P49" s="6"/>
      <c r="Q49" s="6" t="s">
        <v>304</v>
      </c>
    </row>
    <row r="50" customFormat="false" ht="15" hidden="false" customHeight="false" outlineLevel="0" collapsed="false">
      <c r="A50" s="6" t="s">
        <v>305</v>
      </c>
      <c r="B50" s="6" t="s">
        <v>306</v>
      </c>
      <c r="C50" s="6" t="s">
        <v>262</v>
      </c>
      <c r="D50" s="6" t="s">
        <v>307</v>
      </c>
      <c r="E50" s="6" t="s">
        <v>292</v>
      </c>
      <c r="F50" s="6" t="s">
        <v>293</v>
      </c>
      <c r="G50" s="6" t="s">
        <v>294</v>
      </c>
      <c r="H50" s="7" t="n">
        <v>32</v>
      </c>
      <c r="I50" s="8" t="n">
        <v>1</v>
      </c>
      <c r="J50" s="9" t="n">
        <v>163.63</v>
      </c>
      <c r="K50" s="8" t="s">
        <v>35</v>
      </c>
      <c r="L50" s="10" t="s">
        <v>98</v>
      </c>
      <c r="M50" s="10" t="s">
        <v>184</v>
      </c>
      <c r="N50" s="10" t="s">
        <v>295</v>
      </c>
      <c r="O50" s="8" t="str">
        <f aca="false">IF(M50="prescription","Yes","No")</f>
        <v>No</v>
      </c>
      <c r="P50" s="6"/>
      <c r="Q50" s="6" t="s">
        <v>308</v>
      </c>
    </row>
    <row r="51" customFormat="false" ht="15" hidden="false" customHeight="false" outlineLevel="0" collapsed="false">
      <c r="A51" s="6" t="s">
        <v>309</v>
      </c>
      <c r="B51" s="6" t="s">
        <v>310</v>
      </c>
      <c r="C51" s="6" t="s">
        <v>262</v>
      </c>
      <c r="D51" s="6" t="s">
        <v>311</v>
      </c>
      <c r="E51" s="6" t="s">
        <v>292</v>
      </c>
      <c r="F51" s="6" t="s">
        <v>293</v>
      </c>
      <c r="G51" s="6" t="s">
        <v>294</v>
      </c>
      <c r="H51" s="7" t="n">
        <v>21</v>
      </c>
      <c r="I51" s="8" t="n">
        <v>1</v>
      </c>
      <c r="J51" s="9" t="n">
        <v>127.93</v>
      </c>
      <c r="K51" s="8" t="s">
        <v>35</v>
      </c>
      <c r="L51" s="10" t="s">
        <v>98</v>
      </c>
      <c r="M51" s="10" t="s">
        <v>184</v>
      </c>
      <c r="N51" s="10" t="s">
        <v>295</v>
      </c>
      <c r="O51" s="8" t="str">
        <f aca="false">IF(M51="prescription","Yes","No")</f>
        <v>No</v>
      </c>
      <c r="P51" s="6"/>
      <c r="Q51" s="6" t="s">
        <v>312</v>
      </c>
    </row>
    <row r="52" customFormat="false" ht="15" hidden="false" customHeight="false" outlineLevel="0" collapsed="false">
      <c r="A52" s="6" t="s">
        <v>313</v>
      </c>
      <c r="B52" s="6" t="s">
        <v>314</v>
      </c>
      <c r="C52" s="6" t="s">
        <v>315</v>
      </c>
      <c r="D52" s="6" t="s">
        <v>316</v>
      </c>
      <c r="E52" s="6" t="s">
        <v>112</v>
      </c>
      <c r="F52" s="6" t="s">
        <v>317</v>
      </c>
      <c r="G52" s="6" t="s">
        <v>318</v>
      </c>
      <c r="H52" s="7" t="n">
        <v>50</v>
      </c>
      <c r="I52" s="8" t="n">
        <v>1</v>
      </c>
      <c r="J52" s="9" t="n">
        <v>70.12</v>
      </c>
      <c r="K52" s="8" t="s">
        <v>35</v>
      </c>
      <c r="L52" s="10" t="s">
        <v>98</v>
      </c>
      <c r="M52" s="10" t="s">
        <v>184</v>
      </c>
      <c r="N52" s="10" t="s">
        <v>319</v>
      </c>
      <c r="O52" s="8" t="str">
        <f aca="false">IF(M52="prescription","Yes","No")</f>
        <v>No</v>
      </c>
      <c r="P52" s="6"/>
      <c r="Q52" s="6" t="s">
        <v>320</v>
      </c>
    </row>
    <row r="53" customFormat="false" ht="15" hidden="false" customHeight="false" outlineLevel="0" collapsed="false">
      <c r="A53" s="6" t="s">
        <v>321</v>
      </c>
      <c r="B53" s="6" t="s">
        <v>322</v>
      </c>
      <c r="C53" s="6" t="s">
        <v>315</v>
      </c>
      <c r="D53" s="6" t="s">
        <v>323</v>
      </c>
      <c r="E53" s="6" t="s">
        <v>95</v>
      </c>
      <c r="F53" s="6" t="s">
        <v>324</v>
      </c>
      <c r="G53" s="6" t="s">
        <v>325</v>
      </c>
      <c r="H53" s="7" t="n">
        <v>130</v>
      </c>
      <c r="I53" s="8" t="n">
        <v>15</v>
      </c>
      <c r="J53" s="9" t="n">
        <v>64.42</v>
      </c>
      <c r="K53" s="8" t="s">
        <v>35</v>
      </c>
      <c r="L53" s="10" t="s">
        <v>98</v>
      </c>
      <c r="M53" s="10" t="s">
        <v>184</v>
      </c>
      <c r="N53" s="10" t="s">
        <v>319</v>
      </c>
      <c r="O53" s="8" t="str">
        <f aca="false">IF(M53="prescription","Yes","No")</f>
        <v>No</v>
      </c>
      <c r="P53" s="6"/>
      <c r="Q53" s="6" t="s">
        <v>326</v>
      </c>
    </row>
    <row r="54" customFormat="false" ht="15" hidden="false" customHeight="false" outlineLevel="0" collapsed="false">
      <c r="A54" s="6" t="s">
        <v>327</v>
      </c>
      <c r="B54" s="6" t="s">
        <v>328</v>
      </c>
      <c r="C54" s="6" t="s">
        <v>315</v>
      </c>
      <c r="D54" s="6" t="s">
        <v>329</v>
      </c>
      <c r="E54" s="6" t="s">
        <v>95</v>
      </c>
      <c r="F54" s="6" t="s">
        <v>324</v>
      </c>
      <c r="G54" s="6" t="s">
        <v>330</v>
      </c>
      <c r="H54" s="7" t="n">
        <v>420</v>
      </c>
      <c r="I54" s="8" t="n">
        <v>20</v>
      </c>
      <c r="J54" s="9" t="n">
        <v>85.2</v>
      </c>
      <c r="K54" s="8" t="s">
        <v>35</v>
      </c>
      <c r="L54" s="10" t="s">
        <v>98</v>
      </c>
      <c r="M54" s="10" t="s">
        <v>184</v>
      </c>
      <c r="N54" s="10" t="s">
        <v>319</v>
      </c>
      <c r="O54" s="8" t="str">
        <f aca="false">IF(M54="prescription","Yes","No")</f>
        <v>No</v>
      </c>
      <c r="P54" s="6"/>
      <c r="Q54" s="6" t="s">
        <v>331</v>
      </c>
    </row>
    <row r="55" customFormat="false" ht="15" hidden="false" customHeight="false" outlineLevel="0" collapsed="false">
      <c r="A55" s="6" t="s">
        <v>332</v>
      </c>
      <c r="B55" s="6" t="s">
        <v>333</v>
      </c>
      <c r="C55" s="6" t="s">
        <v>315</v>
      </c>
      <c r="D55" s="6" t="s">
        <v>334</v>
      </c>
      <c r="E55" s="6" t="s">
        <v>95</v>
      </c>
      <c r="F55" s="6" t="s">
        <v>324</v>
      </c>
      <c r="G55" s="6" t="s">
        <v>335</v>
      </c>
      <c r="H55" s="7" t="n">
        <v>300</v>
      </c>
      <c r="I55" s="8" t="n">
        <v>30</v>
      </c>
      <c r="J55" s="9" t="n">
        <v>298.13</v>
      </c>
      <c r="K55" s="8" t="s">
        <v>35</v>
      </c>
      <c r="L55" s="10" t="s">
        <v>98</v>
      </c>
      <c r="M55" s="10" t="s">
        <v>184</v>
      </c>
      <c r="N55" s="10" t="s">
        <v>319</v>
      </c>
      <c r="O55" s="8" t="str">
        <f aca="false">IF(M55="prescription","Yes","No")</f>
        <v>No</v>
      </c>
      <c r="P55" s="6"/>
      <c r="Q55" s="6" t="s">
        <v>336</v>
      </c>
    </row>
    <row r="56" customFormat="false" ht="15" hidden="false" customHeight="false" outlineLevel="0" collapsed="false">
      <c r="A56" s="6" t="s">
        <v>337</v>
      </c>
      <c r="B56" s="6" t="s">
        <v>338</v>
      </c>
      <c r="C56" s="6" t="s">
        <v>315</v>
      </c>
      <c r="D56" s="6" t="s">
        <v>339</v>
      </c>
      <c r="E56" s="6" t="s">
        <v>95</v>
      </c>
      <c r="F56" s="6" t="s">
        <v>324</v>
      </c>
      <c r="G56" s="6" t="s">
        <v>335</v>
      </c>
      <c r="H56" s="7" t="n">
        <v>360</v>
      </c>
      <c r="I56" s="8" t="n">
        <v>30</v>
      </c>
      <c r="J56" s="9" t="n">
        <v>16.11</v>
      </c>
      <c r="K56" s="8" t="s">
        <v>35</v>
      </c>
      <c r="L56" s="10" t="s">
        <v>98</v>
      </c>
      <c r="M56" s="10" t="s">
        <v>184</v>
      </c>
      <c r="N56" s="10" t="s">
        <v>319</v>
      </c>
      <c r="O56" s="8" t="str">
        <f aca="false">IF(M56="prescription","Yes","No")</f>
        <v>No</v>
      </c>
      <c r="P56" s="6"/>
      <c r="Q56" s="6" t="s">
        <v>340</v>
      </c>
    </row>
    <row r="57" customFormat="false" ht="15" hidden="false" customHeight="false" outlineLevel="0" collapsed="false">
      <c r="A57" s="6" t="s">
        <v>341</v>
      </c>
      <c r="B57" s="6" t="s">
        <v>342</v>
      </c>
      <c r="C57" s="6" t="s">
        <v>262</v>
      </c>
      <c r="D57" s="6" t="s">
        <v>343</v>
      </c>
      <c r="E57" s="6" t="s">
        <v>344</v>
      </c>
      <c r="F57" s="6" t="s">
        <v>345</v>
      </c>
      <c r="G57" s="6" t="s">
        <v>346</v>
      </c>
      <c r="H57" s="7" t="n">
        <v>14</v>
      </c>
      <c r="I57" s="8" t="n">
        <v>1</v>
      </c>
      <c r="J57" s="9" t="n">
        <v>54.43</v>
      </c>
      <c r="K57" s="8" t="s">
        <v>35</v>
      </c>
      <c r="L57" s="10" t="s">
        <v>98</v>
      </c>
      <c r="M57" s="10" t="s">
        <v>184</v>
      </c>
      <c r="N57" s="10" t="s">
        <v>347</v>
      </c>
      <c r="O57" s="8" t="str">
        <f aca="false">IF(M57="prescription","Yes","No")</f>
        <v>No</v>
      </c>
      <c r="P57" s="6"/>
      <c r="Q57" s="6" t="s">
        <v>348</v>
      </c>
    </row>
    <row r="58" customFormat="false" ht="15" hidden="false" customHeight="false" outlineLevel="0" collapsed="false">
      <c r="A58" s="6" t="s">
        <v>349</v>
      </c>
      <c r="B58" s="6" t="s">
        <v>350</v>
      </c>
      <c r="C58" s="6" t="s">
        <v>351</v>
      </c>
      <c r="D58" s="6" t="s">
        <v>352</v>
      </c>
      <c r="E58" s="6" t="s">
        <v>353</v>
      </c>
      <c r="F58" s="6" t="s">
        <v>345</v>
      </c>
      <c r="G58" s="6" t="s">
        <v>346</v>
      </c>
      <c r="H58" s="7" t="n">
        <v>24</v>
      </c>
      <c r="I58" s="8" t="n">
        <v>1</v>
      </c>
      <c r="J58" s="9" t="n">
        <v>28.8</v>
      </c>
      <c r="K58" s="8" t="s">
        <v>35</v>
      </c>
      <c r="L58" s="10" t="s">
        <v>98</v>
      </c>
      <c r="M58" s="10" t="s">
        <v>184</v>
      </c>
      <c r="N58" s="10" t="s">
        <v>347</v>
      </c>
      <c r="O58" s="8" t="str">
        <f aca="false">IF(M58="prescription","Yes","No")</f>
        <v>No</v>
      </c>
      <c r="P58" s="6"/>
      <c r="Q58" s="6" t="s">
        <v>354</v>
      </c>
    </row>
    <row r="59" customFormat="false" ht="15" hidden="false" customHeight="false" outlineLevel="0" collapsed="false">
      <c r="A59" s="6" t="s">
        <v>355</v>
      </c>
      <c r="B59" s="6" t="s">
        <v>356</v>
      </c>
      <c r="C59" s="6" t="s">
        <v>281</v>
      </c>
      <c r="D59" s="6" t="s">
        <v>357</v>
      </c>
      <c r="E59" s="6" t="s">
        <v>112</v>
      </c>
      <c r="F59" s="6" t="s">
        <v>358</v>
      </c>
      <c r="G59" s="6" t="s">
        <v>359</v>
      </c>
      <c r="H59" s="7" t="n">
        <v>19</v>
      </c>
      <c r="I59" s="8" t="n">
        <v>1</v>
      </c>
      <c r="J59" s="9" t="n">
        <v>18.07</v>
      </c>
      <c r="K59" s="8" t="s">
        <v>35</v>
      </c>
      <c r="L59" s="10" t="s">
        <v>98</v>
      </c>
      <c r="M59" s="10" t="s">
        <v>184</v>
      </c>
      <c r="N59" s="10" t="s">
        <v>360</v>
      </c>
      <c r="O59" s="8" t="str">
        <f aca="false">IF(M59="prescription","Yes","No")</f>
        <v>No</v>
      </c>
      <c r="P59" s="6"/>
      <c r="Q59" s="6" t="s">
        <v>361</v>
      </c>
    </row>
    <row r="60" customFormat="false" ht="15" hidden="false" customHeight="false" outlineLevel="0" collapsed="false">
      <c r="A60" s="6" t="s">
        <v>362</v>
      </c>
      <c r="B60" s="6" t="s">
        <v>363</v>
      </c>
      <c r="C60" s="6" t="s">
        <v>364</v>
      </c>
      <c r="D60" s="6" t="s">
        <v>365</v>
      </c>
      <c r="E60" s="6" t="s">
        <v>112</v>
      </c>
      <c r="F60" s="6" t="s">
        <v>358</v>
      </c>
      <c r="G60" s="6" t="s">
        <v>359</v>
      </c>
      <c r="H60" s="7" t="n">
        <v>4</v>
      </c>
      <c r="I60" s="8" t="n">
        <v>1</v>
      </c>
      <c r="J60" s="9" t="n">
        <v>168.54</v>
      </c>
      <c r="K60" s="8" t="s">
        <v>35</v>
      </c>
      <c r="L60" s="10" t="s">
        <v>98</v>
      </c>
      <c r="M60" s="10" t="s">
        <v>184</v>
      </c>
      <c r="N60" s="10" t="s">
        <v>360</v>
      </c>
      <c r="O60" s="8" t="str">
        <f aca="false">IF(M60="prescription","Yes","No")</f>
        <v>No</v>
      </c>
      <c r="P60" s="6"/>
      <c r="Q60" s="6" t="s">
        <v>366</v>
      </c>
    </row>
    <row r="61" customFormat="false" ht="15" hidden="false" customHeight="false" outlineLevel="0" collapsed="false">
      <c r="A61" s="6" t="s">
        <v>367</v>
      </c>
      <c r="B61" s="6" t="s">
        <v>368</v>
      </c>
      <c r="C61" s="6" t="s">
        <v>210</v>
      </c>
      <c r="D61" s="6" t="s">
        <v>369</v>
      </c>
      <c r="E61" s="6" t="s">
        <v>95</v>
      </c>
      <c r="F61" s="6" t="s">
        <v>370</v>
      </c>
      <c r="G61" s="6" t="s">
        <v>359</v>
      </c>
      <c r="H61" s="7" t="n">
        <v>6</v>
      </c>
      <c r="I61" s="8" t="n">
        <v>10</v>
      </c>
      <c r="J61" s="9" t="n">
        <v>4</v>
      </c>
      <c r="K61" s="8" t="s">
        <v>35</v>
      </c>
      <c r="L61" s="10" t="s">
        <v>98</v>
      </c>
      <c r="M61" s="10" t="s">
        <v>184</v>
      </c>
      <c r="N61" s="10" t="s">
        <v>360</v>
      </c>
      <c r="O61" s="8" t="str">
        <f aca="false">IF(M61="prescription","Yes","No")</f>
        <v>No</v>
      </c>
      <c r="P61" s="6"/>
      <c r="Q61" s="6" t="s">
        <v>371</v>
      </c>
    </row>
    <row r="62" customFormat="false" ht="15" hidden="false" customHeight="false" outlineLevel="0" collapsed="false">
      <c r="A62" s="6" t="s">
        <v>372</v>
      </c>
      <c r="B62" s="6" t="s">
        <v>373</v>
      </c>
      <c r="C62" s="6" t="s">
        <v>104</v>
      </c>
      <c r="D62" s="6" t="s">
        <v>374</v>
      </c>
      <c r="E62" s="6" t="s">
        <v>375</v>
      </c>
      <c r="F62" s="6" t="s">
        <v>376</v>
      </c>
      <c r="G62" s="6" t="s">
        <v>377</v>
      </c>
      <c r="H62" s="7" t="n">
        <v>61</v>
      </c>
      <c r="I62" s="8" t="n">
        <v>1</v>
      </c>
      <c r="J62" s="9" t="n">
        <v>16.41</v>
      </c>
      <c r="K62" s="8" t="s">
        <v>35</v>
      </c>
      <c r="L62" s="10" t="s">
        <v>98</v>
      </c>
      <c r="M62" s="10" t="s">
        <v>184</v>
      </c>
      <c r="N62" s="10" t="s">
        <v>360</v>
      </c>
      <c r="O62" s="8" t="str">
        <f aca="false">IF(M62="prescription","Yes","No")</f>
        <v>No</v>
      </c>
      <c r="P62" s="6" t="s">
        <v>378</v>
      </c>
      <c r="Q62" s="6" t="s">
        <v>379</v>
      </c>
    </row>
    <row r="63" customFormat="false" ht="15" hidden="false" customHeight="false" outlineLevel="0" collapsed="false">
      <c r="A63" s="6" t="s">
        <v>380</v>
      </c>
      <c r="B63" s="6" t="s">
        <v>381</v>
      </c>
      <c r="C63" s="6" t="s">
        <v>382</v>
      </c>
      <c r="D63" s="6" t="s">
        <v>383</v>
      </c>
      <c r="E63" s="6" t="s">
        <v>384</v>
      </c>
      <c r="F63" s="6" t="s">
        <v>376</v>
      </c>
      <c r="G63" s="6" t="s">
        <v>385</v>
      </c>
      <c r="H63" s="7" t="n">
        <v>48</v>
      </c>
      <c r="I63" s="8" t="n">
        <v>1</v>
      </c>
      <c r="J63" s="9" t="n">
        <v>74.29</v>
      </c>
      <c r="K63" s="8" t="s">
        <v>35</v>
      </c>
      <c r="L63" s="10" t="s">
        <v>98</v>
      </c>
      <c r="M63" s="10" t="s">
        <v>184</v>
      </c>
      <c r="N63" s="10" t="s">
        <v>360</v>
      </c>
      <c r="O63" s="8" t="str">
        <f aca="false">IF(M63="prescription","Yes","No")</f>
        <v>No</v>
      </c>
      <c r="P63" s="6" t="s">
        <v>378</v>
      </c>
      <c r="Q63" s="6" t="s">
        <v>386</v>
      </c>
    </row>
    <row r="64" customFormat="false" ht="15" hidden="false" customHeight="false" outlineLevel="0" collapsed="false">
      <c r="A64" s="6" t="s">
        <v>387</v>
      </c>
      <c r="B64" s="6" t="s">
        <v>388</v>
      </c>
      <c r="C64" s="6" t="s">
        <v>389</v>
      </c>
      <c r="D64" s="6" t="s">
        <v>390</v>
      </c>
      <c r="E64" s="6" t="s">
        <v>384</v>
      </c>
      <c r="F64" s="6" t="s">
        <v>376</v>
      </c>
      <c r="G64" s="6" t="s">
        <v>385</v>
      </c>
      <c r="H64" s="7" t="n">
        <v>10</v>
      </c>
      <c r="I64" s="8" t="n">
        <v>1</v>
      </c>
      <c r="J64" s="9" t="n">
        <v>228.4</v>
      </c>
      <c r="K64" s="8" t="s">
        <v>35</v>
      </c>
      <c r="L64" s="10" t="s">
        <v>98</v>
      </c>
      <c r="M64" s="10" t="s">
        <v>184</v>
      </c>
      <c r="N64" s="10" t="s">
        <v>360</v>
      </c>
      <c r="O64" s="8" t="str">
        <f aca="false">IF(M64="prescription","Yes","No")</f>
        <v>No</v>
      </c>
      <c r="P64" s="6" t="s">
        <v>378</v>
      </c>
      <c r="Q64" s="6" t="s">
        <v>391</v>
      </c>
    </row>
    <row r="65" customFormat="false" ht="15" hidden="false" customHeight="false" outlineLevel="0" collapsed="false">
      <c r="A65" s="6" t="s">
        <v>392</v>
      </c>
      <c r="B65" s="6" t="s">
        <v>393</v>
      </c>
      <c r="C65" s="6" t="s">
        <v>394</v>
      </c>
      <c r="D65" s="6" t="s">
        <v>369</v>
      </c>
      <c r="E65" s="6" t="s">
        <v>95</v>
      </c>
      <c r="F65" s="6" t="s">
        <v>370</v>
      </c>
      <c r="G65" s="6" t="s">
        <v>359</v>
      </c>
      <c r="H65" s="7" t="n">
        <v>19564</v>
      </c>
      <c r="I65" s="8" t="n">
        <v>10</v>
      </c>
      <c r="J65" s="9" t="n">
        <v>2.4</v>
      </c>
      <c r="K65" s="8" t="s">
        <v>35</v>
      </c>
      <c r="L65" s="10" t="s">
        <v>98</v>
      </c>
      <c r="M65" s="10" t="s">
        <v>184</v>
      </c>
      <c r="N65" s="10" t="s">
        <v>360</v>
      </c>
      <c r="O65" s="8" t="str">
        <f aca="false">IF(M65="prescription","Yes","No")</f>
        <v>No</v>
      </c>
      <c r="P65" s="6"/>
      <c r="Q65" s="6" t="s">
        <v>395</v>
      </c>
    </row>
    <row r="66" customFormat="false" ht="15" hidden="false" customHeight="false" outlineLevel="0" collapsed="false">
      <c r="A66" s="6" t="s">
        <v>396</v>
      </c>
      <c r="B66" s="6" t="s">
        <v>397</v>
      </c>
      <c r="C66" s="6" t="s">
        <v>93</v>
      </c>
      <c r="D66" s="6" t="s">
        <v>398</v>
      </c>
      <c r="E66" s="6" t="s">
        <v>344</v>
      </c>
      <c r="F66" s="6" t="s">
        <v>358</v>
      </c>
      <c r="G66" s="6" t="s">
        <v>359</v>
      </c>
      <c r="H66" s="7" t="n">
        <v>53</v>
      </c>
      <c r="I66" s="8" t="n">
        <v>1</v>
      </c>
      <c r="J66" s="9" t="n">
        <v>11.56</v>
      </c>
      <c r="K66" s="8" t="s">
        <v>35</v>
      </c>
      <c r="L66" s="10" t="s">
        <v>98</v>
      </c>
      <c r="M66" s="10" t="s">
        <v>184</v>
      </c>
      <c r="N66" s="10" t="s">
        <v>360</v>
      </c>
      <c r="O66" s="8" t="str">
        <f aca="false">IF(M66="prescription","Yes","No")</f>
        <v>No</v>
      </c>
      <c r="P66" s="6"/>
      <c r="Q66" s="6" t="s">
        <v>399</v>
      </c>
    </row>
    <row r="67" customFormat="false" ht="15" hidden="false" customHeight="false" outlineLevel="0" collapsed="false">
      <c r="A67" s="6" t="s">
        <v>400</v>
      </c>
      <c r="B67" s="6" t="s">
        <v>401</v>
      </c>
      <c r="C67" s="6" t="s">
        <v>389</v>
      </c>
      <c r="D67" s="6" t="s">
        <v>402</v>
      </c>
      <c r="E67" s="6" t="s">
        <v>95</v>
      </c>
      <c r="F67" s="6" t="s">
        <v>370</v>
      </c>
      <c r="G67" s="6" t="s">
        <v>359</v>
      </c>
      <c r="H67" s="7" t="n">
        <v>300</v>
      </c>
      <c r="I67" s="8" t="n">
        <v>30</v>
      </c>
      <c r="J67" s="9" t="n">
        <v>151.07</v>
      </c>
      <c r="K67" s="8" t="s">
        <v>35</v>
      </c>
      <c r="L67" s="10" t="s">
        <v>98</v>
      </c>
      <c r="M67" s="10" t="s">
        <v>184</v>
      </c>
      <c r="N67" s="10" t="s">
        <v>360</v>
      </c>
      <c r="O67" s="8" t="str">
        <f aca="false">IF(M67="prescription","Yes","No")</f>
        <v>No</v>
      </c>
      <c r="P67" s="6"/>
      <c r="Q67" s="6" t="s">
        <v>403</v>
      </c>
    </row>
    <row r="68" customFormat="false" ht="15" hidden="false" customHeight="false" outlineLevel="0" collapsed="false">
      <c r="A68" s="6" t="s">
        <v>404</v>
      </c>
      <c r="B68" s="6" t="s">
        <v>405</v>
      </c>
      <c r="C68" s="6" t="s">
        <v>290</v>
      </c>
      <c r="D68" s="6" t="s">
        <v>406</v>
      </c>
      <c r="E68" s="6" t="s">
        <v>407</v>
      </c>
      <c r="F68" s="6" t="s">
        <v>408</v>
      </c>
      <c r="G68" s="6" t="s">
        <v>359</v>
      </c>
      <c r="H68" s="7" t="n">
        <v>100</v>
      </c>
      <c r="I68" s="8" t="n">
        <v>1</v>
      </c>
      <c r="J68" s="9" t="n">
        <v>30.43</v>
      </c>
      <c r="K68" s="8" t="s">
        <v>35</v>
      </c>
      <c r="L68" s="10" t="s">
        <v>98</v>
      </c>
      <c r="M68" s="10" t="s">
        <v>409</v>
      </c>
      <c r="N68" s="10" t="s">
        <v>410</v>
      </c>
      <c r="O68" s="8" t="str">
        <f aca="false">IF(M68="prescription","Yes","No")</f>
        <v>Yes</v>
      </c>
      <c r="P68" s="6" t="s">
        <v>411</v>
      </c>
      <c r="Q68" s="6" t="s">
        <v>412</v>
      </c>
    </row>
    <row r="69" customFormat="false" ht="15" hidden="false" customHeight="false" outlineLevel="0" collapsed="false">
      <c r="A69" s="6" t="s">
        <v>413</v>
      </c>
      <c r="B69" s="6" t="s">
        <v>414</v>
      </c>
      <c r="C69" s="6" t="s">
        <v>93</v>
      </c>
      <c r="D69" s="6" t="s">
        <v>415</v>
      </c>
      <c r="E69" s="6" t="s">
        <v>95</v>
      </c>
      <c r="F69" s="6" t="s">
        <v>370</v>
      </c>
      <c r="G69" s="6" t="s">
        <v>416</v>
      </c>
      <c r="H69" s="7" t="n">
        <v>6571</v>
      </c>
      <c r="I69" s="8" t="n">
        <v>10</v>
      </c>
      <c r="J69" s="9" t="n">
        <v>8.98</v>
      </c>
      <c r="K69" s="8" t="s">
        <v>35</v>
      </c>
      <c r="L69" s="10" t="s">
        <v>98</v>
      </c>
      <c r="M69" s="10" t="s">
        <v>409</v>
      </c>
      <c r="N69" s="10" t="s">
        <v>410</v>
      </c>
      <c r="O69" s="8" t="str">
        <f aca="false">IF(M69="prescription","Yes","No")</f>
        <v>Yes</v>
      </c>
      <c r="P69" s="6"/>
      <c r="Q69" s="6" t="s">
        <v>417</v>
      </c>
    </row>
    <row r="70" customFormat="false" ht="15" hidden="false" customHeight="false" outlineLevel="0" collapsed="false">
      <c r="A70" s="6" t="s">
        <v>418</v>
      </c>
      <c r="B70" s="6" t="s">
        <v>419</v>
      </c>
      <c r="C70" s="6" t="s">
        <v>194</v>
      </c>
      <c r="D70" s="6" t="s">
        <v>420</v>
      </c>
      <c r="E70" s="6" t="s">
        <v>95</v>
      </c>
      <c r="F70" s="6" t="s">
        <v>370</v>
      </c>
      <c r="G70" s="6" t="s">
        <v>416</v>
      </c>
      <c r="H70" s="7" t="n">
        <v>982</v>
      </c>
      <c r="I70" s="8" t="n">
        <v>10</v>
      </c>
      <c r="J70" s="9" t="n">
        <v>15.12</v>
      </c>
      <c r="K70" s="8" t="s">
        <v>35</v>
      </c>
      <c r="L70" s="10" t="s">
        <v>98</v>
      </c>
      <c r="M70" s="10" t="s">
        <v>409</v>
      </c>
      <c r="N70" s="10" t="s">
        <v>410</v>
      </c>
      <c r="O70" s="8" t="str">
        <f aca="false">IF(M70="prescription","Yes","No")</f>
        <v>Yes</v>
      </c>
      <c r="P70" s="6"/>
      <c r="Q70" s="6" t="s">
        <v>421</v>
      </c>
    </row>
    <row r="71" customFormat="false" ht="15" hidden="false" customHeight="false" outlineLevel="0" collapsed="false">
      <c r="A71" s="6" t="s">
        <v>422</v>
      </c>
      <c r="B71" s="6" t="s">
        <v>423</v>
      </c>
      <c r="C71" s="6" t="s">
        <v>424</v>
      </c>
      <c r="D71" s="6" t="s">
        <v>425</v>
      </c>
      <c r="E71" s="6" t="s">
        <v>95</v>
      </c>
      <c r="F71" s="6" t="s">
        <v>370</v>
      </c>
      <c r="G71" s="6" t="s">
        <v>426</v>
      </c>
      <c r="H71" s="7" t="n">
        <v>2531</v>
      </c>
      <c r="I71" s="8" t="n">
        <v>10</v>
      </c>
      <c r="J71" s="9" t="n">
        <v>19.86</v>
      </c>
      <c r="K71" s="8" t="s">
        <v>35</v>
      </c>
      <c r="L71" s="10" t="s">
        <v>98</v>
      </c>
      <c r="M71" s="10" t="s">
        <v>409</v>
      </c>
      <c r="N71" s="10" t="s">
        <v>410</v>
      </c>
      <c r="O71" s="8" t="str">
        <f aca="false">IF(M71="prescription","Yes","No")</f>
        <v>Yes</v>
      </c>
      <c r="P71" s="6"/>
      <c r="Q71" s="6" t="s">
        <v>427</v>
      </c>
    </row>
    <row r="72" customFormat="false" ht="15" hidden="false" customHeight="false" outlineLevel="0" collapsed="false">
      <c r="A72" s="6" t="s">
        <v>428</v>
      </c>
      <c r="B72" s="6" t="s">
        <v>429</v>
      </c>
      <c r="C72" s="6" t="s">
        <v>430</v>
      </c>
      <c r="D72" s="6" t="s">
        <v>431</v>
      </c>
      <c r="E72" s="6" t="s">
        <v>95</v>
      </c>
      <c r="F72" s="6" t="s">
        <v>370</v>
      </c>
      <c r="G72" s="6" t="s">
        <v>432</v>
      </c>
      <c r="H72" s="7" t="n">
        <v>3234</v>
      </c>
      <c r="I72" s="8" t="n">
        <v>84</v>
      </c>
      <c r="J72" s="9" t="n">
        <v>143.05</v>
      </c>
      <c r="K72" s="8" t="s">
        <v>35</v>
      </c>
      <c r="L72" s="10" t="s">
        <v>98</v>
      </c>
      <c r="M72" s="10" t="s">
        <v>409</v>
      </c>
      <c r="N72" s="10" t="s">
        <v>410</v>
      </c>
      <c r="O72" s="8" t="str">
        <f aca="false">IF(M72="prescription","Yes","No")</f>
        <v>Yes</v>
      </c>
      <c r="P72" s="6"/>
      <c r="Q72" s="6" t="s">
        <v>433</v>
      </c>
    </row>
    <row r="73" customFormat="false" ht="15" hidden="false" customHeight="false" outlineLevel="0" collapsed="false">
      <c r="A73" s="6" t="s">
        <v>434</v>
      </c>
      <c r="B73" s="6" t="s">
        <v>435</v>
      </c>
      <c r="C73" s="6" t="s">
        <v>436</v>
      </c>
      <c r="D73" s="6" t="s">
        <v>437</v>
      </c>
      <c r="E73" s="6" t="s">
        <v>112</v>
      </c>
      <c r="F73" s="6" t="s">
        <v>358</v>
      </c>
      <c r="G73" s="6" t="s">
        <v>416</v>
      </c>
      <c r="H73" s="7" t="n">
        <v>15</v>
      </c>
      <c r="I73" s="8" t="n">
        <v>1</v>
      </c>
      <c r="J73" s="9" t="n">
        <v>23.41</v>
      </c>
      <c r="K73" s="8" t="s">
        <v>35</v>
      </c>
      <c r="L73" s="10" t="s">
        <v>98</v>
      </c>
      <c r="M73" s="10" t="s">
        <v>409</v>
      </c>
      <c r="N73" s="10" t="s">
        <v>410</v>
      </c>
      <c r="O73" s="8" t="str">
        <f aca="false">IF(M73="prescription","Yes","No")</f>
        <v>Yes</v>
      </c>
      <c r="P73" s="6"/>
      <c r="Q73" s="6" t="s">
        <v>438</v>
      </c>
    </row>
    <row r="74" customFormat="false" ht="15" hidden="false" customHeight="false" outlineLevel="0" collapsed="false">
      <c r="A74" s="6" t="s">
        <v>439</v>
      </c>
      <c r="B74" s="6" t="s">
        <v>440</v>
      </c>
      <c r="C74" s="6" t="s">
        <v>199</v>
      </c>
      <c r="D74" s="6" t="s">
        <v>441</v>
      </c>
      <c r="E74" s="6" t="s">
        <v>95</v>
      </c>
      <c r="F74" s="6" t="s">
        <v>370</v>
      </c>
      <c r="G74" s="6" t="s">
        <v>416</v>
      </c>
      <c r="H74" s="7" t="n">
        <v>24</v>
      </c>
      <c r="I74" s="8" t="n">
        <v>10</v>
      </c>
      <c r="J74" s="9" t="n">
        <v>35.15</v>
      </c>
      <c r="K74" s="8" t="s">
        <v>35</v>
      </c>
      <c r="L74" s="10" t="s">
        <v>98</v>
      </c>
      <c r="M74" s="10" t="s">
        <v>409</v>
      </c>
      <c r="N74" s="10" t="s">
        <v>410</v>
      </c>
      <c r="O74" s="8" t="str">
        <f aca="false">IF(M74="prescription","Yes","No")</f>
        <v>Yes</v>
      </c>
      <c r="P74" s="6"/>
      <c r="Q74" s="6" t="s">
        <v>442</v>
      </c>
    </row>
    <row r="75" customFormat="false" ht="15" hidden="false" customHeight="false" outlineLevel="0" collapsed="false">
      <c r="A75" s="6" t="s">
        <v>443</v>
      </c>
      <c r="B75" s="6" t="s">
        <v>444</v>
      </c>
      <c r="C75" s="6" t="s">
        <v>125</v>
      </c>
      <c r="D75" s="6" t="s">
        <v>445</v>
      </c>
      <c r="E75" s="6" t="s">
        <v>95</v>
      </c>
      <c r="F75" s="6" t="s">
        <v>370</v>
      </c>
      <c r="G75" s="6" t="s">
        <v>446</v>
      </c>
      <c r="H75" s="7" t="n">
        <v>140</v>
      </c>
      <c r="I75" s="8" t="n">
        <v>10</v>
      </c>
      <c r="J75" s="9" t="n">
        <v>81.45</v>
      </c>
      <c r="K75" s="8" t="s">
        <v>35</v>
      </c>
      <c r="L75" s="10" t="s">
        <v>98</v>
      </c>
      <c r="M75" s="10" t="s">
        <v>409</v>
      </c>
      <c r="N75" s="10" t="s">
        <v>410</v>
      </c>
      <c r="O75" s="8" t="str">
        <f aca="false">IF(M75="prescription","Yes","No")</f>
        <v>Yes</v>
      </c>
      <c r="P75" s="6"/>
      <c r="Q75" s="6" t="s">
        <v>447</v>
      </c>
    </row>
    <row r="76" customFormat="false" ht="15" hidden="false" customHeight="false" outlineLevel="0" collapsed="false">
      <c r="A76" s="6" t="s">
        <v>448</v>
      </c>
      <c r="B76" s="6" t="s">
        <v>449</v>
      </c>
      <c r="C76" s="6" t="s">
        <v>125</v>
      </c>
      <c r="D76" s="6" t="s">
        <v>450</v>
      </c>
      <c r="E76" s="6" t="s">
        <v>95</v>
      </c>
      <c r="F76" s="6" t="s">
        <v>370</v>
      </c>
      <c r="G76" s="6" t="s">
        <v>446</v>
      </c>
      <c r="H76" s="7" t="n">
        <v>120</v>
      </c>
      <c r="I76" s="8" t="n">
        <v>10</v>
      </c>
      <c r="J76" s="9" t="n">
        <v>51.02</v>
      </c>
      <c r="K76" s="8" t="s">
        <v>35</v>
      </c>
      <c r="L76" s="10" t="s">
        <v>98</v>
      </c>
      <c r="M76" s="10" t="s">
        <v>409</v>
      </c>
      <c r="N76" s="10" t="s">
        <v>410</v>
      </c>
      <c r="O76" s="8" t="str">
        <f aca="false">IF(M76="prescription","Yes","No")</f>
        <v>Yes</v>
      </c>
      <c r="P76" s="6"/>
      <c r="Q76" s="6" t="s">
        <v>451</v>
      </c>
    </row>
    <row r="77" customFormat="false" ht="15" hidden="false" customHeight="false" outlineLevel="0" collapsed="false">
      <c r="A77" s="6" t="s">
        <v>452</v>
      </c>
      <c r="B77" s="6" t="s">
        <v>453</v>
      </c>
      <c r="C77" s="6" t="s">
        <v>454</v>
      </c>
      <c r="D77" s="6" t="s">
        <v>455</v>
      </c>
      <c r="E77" s="6" t="s">
        <v>95</v>
      </c>
      <c r="F77" s="6" t="s">
        <v>370</v>
      </c>
      <c r="G77" s="6" t="s">
        <v>426</v>
      </c>
      <c r="H77" s="7" t="n">
        <v>116</v>
      </c>
      <c r="I77" s="8" t="n">
        <v>10</v>
      </c>
      <c r="J77" s="9" t="n">
        <v>1.8</v>
      </c>
      <c r="K77" s="8" t="s">
        <v>35</v>
      </c>
      <c r="L77" s="10" t="s">
        <v>98</v>
      </c>
      <c r="M77" s="10" t="s">
        <v>409</v>
      </c>
      <c r="N77" s="10" t="s">
        <v>410</v>
      </c>
      <c r="O77" s="8" t="str">
        <f aca="false">IF(M77="prescription","Yes","No")</f>
        <v>Yes</v>
      </c>
      <c r="P77" s="6"/>
      <c r="Q77" s="6" t="s">
        <v>456</v>
      </c>
    </row>
    <row r="78" customFormat="false" ht="15" hidden="false" customHeight="false" outlineLevel="0" collapsed="false">
      <c r="A78" s="6" t="s">
        <v>457</v>
      </c>
      <c r="B78" s="6" t="s">
        <v>458</v>
      </c>
      <c r="C78" s="6" t="s">
        <v>394</v>
      </c>
      <c r="D78" s="6" t="s">
        <v>459</v>
      </c>
      <c r="E78" s="6" t="s">
        <v>95</v>
      </c>
      <c r="F78" s="6" t="s">
        <v>370</v>
      </c>
      <c r="G78" s="6" t="s">
        <v>426</v>
      </c>
      <c r="H78" s="7" t="n">
        <v>422</v>
      </c>
      <c r="I78" s="8" t="n">
        <v>10</v>
      </c>
      <c r="J78" s="9" t="n">
        <v>4</v>
      </c>
      <c r="K78" s="8" t="s">
        <v>35</v>
      </c>
      <c r="L78" s="10" t="s">
        <v>98</v>
      </c>
      <c r="M78" s="10" t="s">
        <v>409</v>
      </c>
      <c r="N78" s="10" t="s">
        <v>410</v>
      </c>
      <c r="O78" s="8" t="str">
        <f aca="false">IF(M78="prescription","Yes","No")</f>
        <v>Yes</v>
      </c>
      <c r="P78" s="6"/>
      <c r="Q78" s="6" t="s">
        <v>460</v>
      </c>
    </row>
    <row r="79" customFormat="false" ht="15" hidden="false" customHeight="false" outlineLevel="0" collapsed="false">
      <c r="A79" s="6" t="s">
        <v>461</v>
      </c>
      <c r="B79" s="6" t="s">
        <v>462</v>
      </c>
      <c r="C79" s="6" t="s">
        <v>463</v>
      </c>
      <c r="D79" s="6" t="s">
        <v>464</v>
      </c>
      <c r="E79" s="6" t="s">
        <v>106</v>
      </c>
      <c r="F79" s="6" t="s">
        <v>370</v>
      </c>
      <c r="G79" s="6" t="s">
        <v>426</v>
      </c>
      <c r="H79" s="7" t="n">
        <v>20</v>
      </c>
      <c r="I79" s="8" t="n">
        <v>10</v>
      </c>
      <c r="J79" s="9" t="n">
        <v>75.23</v>
      </c>
      <c r="K79" s="8" t="s">
        <v>35</v>
      </c>
      <c r="L79" s="10" t="s">
        <v>98</v>
      </c>
      <c r="M79" s="10" t="s">
        <v>409</v>
      </c>
      <c r="N79" s="10" t="s">
        <v>410</v>
      </c>
      <c r="O79" s="8" t="str">
        <f aca="false">IF(M79="prescription","Yes","No")</f>
        <v>Yes</v>
      </c>
      <c r="P79" s="6"/>
      <c r="Q79" s="6" t="s">
        <v>465</v>
      </c>
    </row>
    <row r="80" customFormat="false" ht="15" hidden="false" customHeight="false" outlineLevel="0" collapsed="false">
      <c r="A80" s="6" t="s">
        <v>466</v>
      </c>
      <c r="B80" s="6" t="s">
        <v>467</v>
      </c>
      <c r="C80" s="6" t="s">
        <v>389</v>
      </c>
      <c r="D80" s="6" t="s">
        <v>468</v>
      </c>
      <c r="E80" s="6" t="s">
        <v>95</v>
      </c>
      <c r="F80" s="6" t="s">
        <v>370</v>
      </c>
      <c r="G80" s="6" t="s">
        <v>416</v>
      </c>
      <c r="H80" s="7" t="n">
        <v>1370</v>
      </c>
      <c r="I80" s="8" t="n">
        <v>10</v>
      </c>
      <c r="J80" s="9" t="n">
        <v>13.54</v>
      </c>
      <c r="K80" s="8" t="s">
        <v>35</v>
      </c>
      <c r="L80" s="10" t="s">
        <v>98</v>
      </c>
      <c r="M80" s="10" t="s">
        <v>409</v>
      </c>
      <c r="N80" s="10" t="s">
        <v>410</v>
      </c>
      <c r="O80" s="8" t="str">
        <f aca="false">IF(M80="prescription","Yes","No")</f>
        <v>Yes</v>
      </c>
      <c r="P80" s="6"/>
      <c r="Q80" s="6" t="s">
        <v>469</v>
      </c>
    </row>
    <row r="81" customFormat="false" ht="15" hidden="false" customHeight="false" outlineLevel="0" collapsed="false">
      <c r="A81" s="6" t="s">
        <v>470</v>
      </c>
      <c r="B81" s="6" t="s">
        <v>471</v>
      </c>
      <c r="C81" s="6" t="s">
        <v>472</v>
      </c>
      <c r="D81" s="6" t="s">
        <v>473</v>
      </c>
      <c r="E81" s="6" t="s">
        <v>95</v>
      </c>
      <c r="F81" s="6" t="s">
        <v>370</v>
      </c>
      <c r="G81" s="6" t="s">
        <v>474</v>
      </c>
      <c r="H81" s="7" t="n">
        <v>40</v>
      </c>
      <c r="I81" s="8" t="n">
        <v>10</v>
      </c>
      <c r="J81" s="9" t="n">
        <v>36.51</v>
      </c>
      <c r="K81" s="8" t="s">
        <v>35</v>
      </c>
      <c r="L81" s="10" t="s">
        <v>98</v>
      </c>
      <c r="M81" s="10" t="s">
        <v>409</v>
      </c>
      <c r="N81" s="10" t="s">
        <v>410</v>
      </c>
      <c r="O81" s="8" t="str">
        <f aca="false">IF(M81="prescription","Yes","No")</f>
        <v>Yes</v>
      </c>
      <c r="P81" s="6"/>
      <c r="Q81" s="6" t="s">
        <v>475</v>
      </c>
    </row>
    <row r="82" customFormat="false" ht="15" hidden="false" customHeight="false" outlineLevel="0" collapsed="false">
      <c r="A82" s="6" t="s">
        <v>476</v>
      </c>
      <c r="B82" s="6" t="s">
        <v>477</v>
      </c>
      <c r="C82" s="6" t="s">
        <v>478</v>
      </c>
      <c r="D82" s="6" t="s">
        <v>479</v>
      </c>
      <c r="E82" s="6" t="s">
        <v>106</v>
      </c>
      <c r="F82" s="6" t="s">
        <v>370</v>
      </c>
      <c r="G82" s="6" t="s">
        <v>426</v>
      </c>
      <c r="H82" s="7" t="n">
        <v>125</v>
      </c>
      <c r="I82" s="8" t="n">
        <v>10</v>
      </c>
      <c r="J82" s="9" t="n">
        <v>2.8</v>
      </c>
      <c r="K82" s="8" t="s">
        <v>35</v>
      </c>
      <c r="L82" s="10" t="s">
        <v>98</v>
      </c>
      <c r="M82" s="10" t="s">
        <v>409</v>
      </c>
      <c r="N82" s="10" t="s">
        <v>410</v>
      </c>
      <c r="O82" s="8" t="str">
        <f aca="false">IF(M82="prescription","Yes","No")</f>
        <v>Yes</v>
      </c>
      <c r="P82" s="6"/>
      <c r="Q82" s="6" t="s">
        <v>480</v>
      </c>
    </row>
    <row r="83" customFormat="false" ht="15" hidden="false" customHeight="false" outlineLevel="0" collapsed="false">
      <c r="A83" s="6" t="s">
        <v>481</v>
      </c>
      <c r="B83" s="6" t="s">
        <v>482</v>
      </c>
      <c r="C83" s="6" t="s">
        <v>483</v>
      </c>
      <c r="D83" s="6" t="s">
        <v>484</v>
      </c>
      <c r="E83" s="6" t="s">
        <v>407</v>
      </c>
      <c r="F83" s="6" t="s">
        <v>408</v>
      </c>
      <c r="G83" s="6" t="s">
        <v>485</v>
      </c>
      <c r="H83" s="7" t="n">
        <v>56</v>
      </c>
      <c r="I83" s="8" t="n">
        <v>1</v>
      </c>
      <c r="J83" s="9" t="n">
        <v>4.99</v>
      </c>
      <c r="K83" s="8" t="s">
        <v>35</v>
      </c>
      <c r="L83" s="10" t="s">
        <v>98</v>
      </c>
      <c r="M83" s="10" t="s">
        <v>409</v>
      </c>
      <c r="N83" s="10" t="s">
        <v>410</v>
      </c>
      <c r="O83" s="8" t="str">
        <f aca="false">IF(M83="prescription","Yes","No")</f>
        <v>Yes</v>
      </c>
      <c r="P83" s="6"/>
      <c r="Q83" s="6" t="s">
        <v>486</v>
      </c>
    </row>
    <row r="84" customFormat="false" ht="15" hidden="false" customHeight="false" outlineLevel="0" collapsed="false">
      <c r="A84" s="6" t="s">
        <v>487</v>
      </c>
      <c r="B84" s="6" t="s">
        <v>488</v>
      </c>
      <c r="C84" s="6" t="s">
        <v>489</v>
      </c>
      <c r="D84" s="6" t="s">
        <v>490</v>
      </c>
      <c r="E84" s="6" t="s">
        <v>112</v>
      </c>
      <c r="F84" s="6" t="s">
        <v>358</v>
      </c>
      <c r="G84" s="6" t="s">
        <v>426</v>
      </c>
      <c r="H84" s="7" t="n">
        <v>16</v>
      </c>
      <c r="I84" s="8" t="n">
        <v>1</v>
      </c>
      <c r="J84" s="9" t="n">
        <v>17.89</v>
      </c>
      <c r="K84" s="8" t="s">
        <v>35</v>
      </c>
      <c r="L84" s="10" t="s">
        <v>98</v>
      </c>
      <c r="M84" s="10" t="s">
        <v>409</v>
      </c>
      <c r="N84" s="10" t="s">
        <v>410</v>
      </c>
      <c r="O84" s="8" t="str">
        <f aca="false">IF(M84="prescription","Yes","No")</f>
        <v>Yes</v>
      </c>
      <c r="P84" s="6"/>
      <c r="Q84" s="6" t="s">
        <v>491</v>
      </c>
    </row>
    <row r="85" customFormat="false" ht="15" hidden="false" customHeight="false" outlineLevel="0" collapsed="false">
      <c r="A85" s="6" t="s">
        <v>492</v>
      </c>
      <c r="B85" s="6" t="s">
        <v>493</v>
      </c>
      <c r="C85" s="6" t="s">
        <v>494</v>
      </c>
      <c r="D85" s="6" t="s">
        <v>484</v>
      </c>
      <c r="E85" s="6" t="s">
        <v>407</v>
      </c>
      <c r="F85" s="6" t="s">
        <v>408</v>
      </c>
      <c r="G85" s="6" t="s">
        <v>485</v>
      </c>
      <c r="H85" s="7" t="n">
        <v>0</v>
      </c>
      <c r="I85" s="8" t="n">
        <v>1</v>
      </c>
      <c r="J85" s="9" t="n">
        <v>18.09</v>
      </c>
      <c r="K85" s="8" t="s">
        <v>87</v>
      </c>
      <c r="L85" s="10" t="s">
        <v>98</v>
      </c>
      <c r="M85" s="10" t="s">
        <v>409</v>
      </c>
      <c r="N85" s="10" t="s">
        <v>410</v>
      </c>
      <c r="O85" s="8" t="str">
        <f aca="false">IF(M85="prescription","Yes","No")</f>
        <v>Yes</v>
      </c>
      <c r="P85" s="6" t="s">
        <v>89</v>
      </c>
      <c r="Q85" s="6" t="s">
        <v>495</v>
      </c>
    </row>
    <row r="86" customFormat="false" ht="15" hidden="false" customHeight="false" outlineLevel="0" collapsed="false">
      <c r="A86" s="6" t="s">
        <v>496</v>
      </c>
      <c r="B86" s="6" t="s">
        <v>497</v>
      </c>
      <c r="C86" s="6" t="s">
        <v>498</v>
      </c>
      <c r="D86" s="6" t="s">
        <v>425</v>
      </c>
      <c r="E86" s="6" t="s">
        <v>95</v>
      </c>
      <c r="F86" s="6" t="s">
        <v>370</v>
      </c>
      <c r="G86" s="6" t="s">
        <v>426</v>
      </c>
      <c r="H86" s="7" t="n">
        <v>498</v>
      </c>
      <c r="I86" s="8" t="n">
        <v>10</v>
      </c>
      <c r="J86" s="9" t="n">
        <v>17.89</v>
      </c>
      <c r="K86" s="8" t="s">
        <v>35</v>
      </c>
      <c r="L86" s="10" t="s">
        <v>98</v>
      </c>
      <c r="M86" s="10" t="s">
        <v>409</v>
      </c>
      <c r="N86" s="10" t="s">
        <v>410</v>
      </c>
      <c r="O86" s="8" t="str">
        <f aca="false">IF(M86="prescription","Yes","No")</f>
        <v>Yes</v>
      </c>
      <c r="P86" s="6"/>
      <c r="Q86" s="6" t="s">
        <v>499</v>
      </c>
    </row>
    <row r="87" customFormat="false" ht="15" hidden="false" customHeight="false" outlineLevel="0" collapsed="false">
      <c r="A87" s="6" t="s">
        <v>500</v>
      </c>
      <c r="B87" s="6" t="s">
        <v>501</v>
      </c>
      <c r="C87" s="6" t="s">
        <v>502</v>
      </c>
      <c r="D87" s="6" t="s">
        <v>503</v>
      </c>
      <c r="E87" s="6" t="s">
        <v>95</v>
      </c>
      <c r="F87" s="6" t="s">
        <v>370</v>
      </c>
      <c r="G87" s="6" t="s">
        <v>426</v>
      </c>
      <c r="H87" s="7" t="n">
        <v>980</v>
      </c>
      <c r="I87" s="8" t="n">
        <v>10</v>
      </c>
      <c r="J87" s="9" t="n">
        <v>13.14</v>
      </c>
      <c r="K87" s="8" t="s">
        <v>35</v>
      </c>
      <c r="L87" s="10" t="s">
        <v>98</v>
      </c>
      <c r="M87" s="10" t="s">
        <v>409</v>
      </c>
      <c r="N87" s="10" t="s">
        <v>410</v>
      </c>
      <c r="O87" s="8" t="str">
        <f aca="false">IF(M87="prescription","Yes","No")</f>
        <v>Yes</v>
      </c>
      <c r="P87" s="6"/>
      <c r="Q87" s="6" t="s">
        <v>504</v>
      </c>
    </row>
    <row r="88" customFormat="false" ht="15" hidden="false" customHeight="false" outlineLevel="0" collapsed="false">
      <c r="A88" s="6" t="s">
        <v>505</v>
      </c>
      <c r="B88" s="6" t="s">
        <v>506</v>
      </c>
      <c r="C88" s="6" t="s">
        <v>507</v>
      </c>
      <c r="D88" s="6" t="s">
        <v>508</v>
      </c>
      <c r="E88" s="6" t="s">
        <v>106</v>
      </c>
      <c r="F88" s="6" t="s">
        <v>370</v>
      </c>
      <c r="G88" s="6" t="s">
        <v>509</v>
      </c>
      <c r="H88" s="7" t="n">
        <v>160</v>
      </c>
      <c r="I88" s="8" t="n">
        <v>30</v>
      </c>
      <c r="J88" s="9" t="n">
        <v>136.59</v>
      </c>
      <c r="K88" s="8" t="s">
        <v>35</v>
      </c>
      <c r="L88" s="10" t="s">
        <v>98</v>
      </c>
      <c r="M88" s="10" t="s">
        <v>409</v>
      </c>
      <c r="N88" s="10" t="s">
        <v>410</v>
      </c>
      <c r="O88" s="8" t="str">
        <f aca="false">IF(M88="prescription","Yes","No")</f>
        <v>Yes</v>
      </c>
      <c r="P88" s="6"/>
      <c r="Q88" s="6" t="s">
        <v>510</v>
      </c>
    </row>
    <row r="89" customFormat="false" ht="15" hidden="false" customHeight="false" outlineLevel="0" collapsed="false">
      <c r="A89" s="6" t="s">
        <v>511</v>
      </c>
      <c r="B89" s="6" t="s">
        <v>512</v>
      </c>
      <c r="C89" s="6" t="s">
        <v>478</v>
      </c>
      <c r="D89" s="6" t="s">
        <v>513</v>
      </c>
      <c r="E89" s="6" t="s">
        <v>95</v>
      </c>
      <c r="F89" s="6" t="s">
        <v>370</v>
      </c>
      <c r="G89" s="6" t="s">
        <v>426</v>
      </c>
      <c r="H89" s="7" t="n">
        <v>3220</v>
      </c>
      <c r="I89" s="8" t="n">
        <v>10</v>
      </c>
      <c r="J89" s="9" t="n">
        <v>7.98</v>
      </c>
      <c r="K89" s="8" t="s">
        <v>35</v>
      </c>
      <c r="L89" s="10" t="s">
        <v>98</v>
      </c>
      <c r="M89" s="10" t="s">
        <v>409</v>
      </c>
      <c r="N89" s="10" t="s">
        <v>410</v>
      </c>
      <c r="O89" s="8" t="str">
        <f aca="false">IF(M89="prescription","Yes","No")</f>
        <v>Yes</v>
      </c>
      <c r="P89" s="6"/>
      <c r="Q89" s="6" t="s">
        <v>514</v>
      </c>
    </row>
    <row r="90" customFormat="false" ht="15" hidden="false" customHeight="false" outlineLevel="0" collapsed="false">
      <c r="A90" s="6" t="s">
        <v>515</v>
      </c>
      <c r="B90" s="6" t="s">
        <v>516</v>
      </c>
      <c r="C90" s="6" t="s">
        <v>517</v>
      </c>
      <c r="D90" s="6" t="s">
        <v>518</v>
      </c>
      <c r="E90" s="6" t="s">
        <v>106</v>
      </c>
      <c r="F90" s="6" t="s">
        <v>370</v>
      </c>
      <c r="G90" s="6" t="s">
        <v>446</v>
      </c>
      <c r="H90" s="7" t="n">
        <v>370</v>
      </c>
      <c r="I90" s="8" t="n">
        <v>10</v>
      </c>
      <c r="J90" s="9" t="n">
        <v>23.8</v>
      </c>
      <c r="K90" s="8" t="s">
        <v>35</v>
      </c>
      <c r="L90" s="10" t="s">
        <v>98</v>
      </c>
      <c r="M90" s="10" t="s">
        <v>409</v>
      </c>
      <c r="N90" s="10" t="s">
        <v>410</v>
      </c>
      <c r="O90" s="8" t="str">
        <f aca="false">IF(M90="prescription","Yes","No")</f>
        <v>Yes</v>
      </c>
      <c r="P90" s="6"/>
      <c r="Q90" s="6" t="s">
        <v>519</v>
      </c>
    </row>
    <row r="91" customFormat="false" ht="15" hidden="false" customHeight="false" outlineLevel="0" collapsed="false">
      <c r="A91" s="6" t="s">
        <v>520</v>
      </c>
      <c r="B91" s="6" t="s">
        <v>521</v>
      </c>
      <c r="C91" s="6" t="s">
        <v>522</v>
      </c>
      <c r="D91" s="6" t="s">
        <v>523</v>
      </c>
      <c r="E91" s="6" t="s">
        <v>95</v>
      </c>
      <c r="F91" s="6" t="s">
        <v>370</v>
      </c>
      <c r="G91" s="6" t="s">
        <v>474</v>
      </c>
      <c r="H91" s="7" t="n">
        <v>1020</v>
      </c>
      <c r="I91" s="8" t="n">
        <v>10</v>
      </c>
      <c r="J91" s="9" t="n">
        <v>41.17</v>
      </c>
      <c r="K91" s="8" t="s">
        <v>35</v>
      </c>
      <c r="L91" s="10" t="s">
        <v>98</v>
      </c>
      <c r="M91" s="10" t="s">
        <v>409</v>
      </c>
      <c r="N91" s="10" t="s">
        <v>410</v>
      </c>
      <c r="O91" s="8" t="str">
        <f aca="false">IF(M91="prescription","Yes","No")</f>
        <v>Yes</v>
      </c>
      <c r="P91" s="6"/>
      <c r="Q91" s="6" t="s">
        <v>524</v>
      </c>
    </row>
    <row r="92" customFormat="false" ht="15" hidden="false" customHeight="false" outlineLevel="0" collapsed="false">
      <c r="A92" s="6" t="s">
        <v>525</v>
      </c>
      <c r="B92" s="6" t="s">
        <v>526</v>
      </c>
      <c r="C92" s="6" t="s">
        <v>489</v>
      </c>
      <c r="D92" s="6" t="s">
        <v>527</v>
      </c>
      <c r="E92" s="6" t="s">
        <v>95</v>
      </c>
      <c r="F92" s="6" t="s">
        <v>370</v>
      </c>
      <c r="G92" s="6" t="s">
        <v>485</v>
      </c>
      <c r="H92" s="7" t="n">
        <v>48548</v>
      </c>
      <c r="I92" s="8" t="n">
        <v>10</v>
      </c>
      <c r="J92" s="9" t="n">
        <v>4</v>
      </c>
      <c r="K92" s="8" t="s">
        <v>35</v>
      </c>
      <c r="L92" s="10" t="s">
        <v>98</v>
      </c>
      <c r="M92" s="10" t="s">
        <v>409</v>
      </c>
      <c r="N92" s="10" t="s">
        <v>410</v>
      </c>
      <c r="O92" s="8" t="str">
        <f aca="false">IF(M92="prescription","Yes","No")</f>
        <v>Yes</v>
      </c>
      <c r="P92" s="6"/>
      <c r="Q92" s="6" t="s">
        <v>528</v>
      </c>
    </row>
    <row r="93" customFormat="false" ht="15" hidden="false" customHeight="false" outlineLevel="0" collapsed="false">
      <c r="A93" s="6" t="s">
        <v>529</v>
      </c>
      <c r="B93" s="6" t="s">
        <v>530</v>
      </c>
      <c r="C93" s="6" t="s">
        <v>478</v>
      </c>
      <c r="D93" s="6" t="s">
        <v>531</v>
      </c>
      <c r="E93" s="6" t="s">
        <v>95</v>
      </c>
      <c r="F93" s="6" t="s">
        <v>370</v>
      </c>
      <c r="G93" s="6" t="s">
        <v>426</v>
      </c>
      <c r="H93" s="7" t="n">
        <v>10171</v>
      </c>
      <c r="I93" s="8" t="n">
        <v>10</v>
      </c>
      <c r="J93" s="9" t="n">
        <v>4</v>
      </c>
      <c r="K93" s="8" t="s">
        <v>35</v>
      </c>
      <c r="L93" s="10" t="s">
        <v>98</v>
      </c>
      <c r="M93" s="10" t="s">
        <v>409</v>
      </c>
      <c r="N93" s="10" t="s">
        <v>410</v>
      </c>
      <c r="O93" s="8" t="str">
        <f aca="false">IF(M93="prescription","Yes","No")</f>
        <v>Yes</v>
      </c>
      <c r="P93" s="6"/>
      <c r="Q93" s="6" t="s">
        <v>532</v>
      </c>
    </row>
    <row r="94" customFormat="false" ht="15" hidden="false" customHeight="false" outlineLevel="0" collapsed="false">
      <c r="A94" s="6" t="s">
        <v>533</v>
      </c>
      <c r="B94" s="6" t="s">
        <v>534</v>
      </c>
      <c r="C94" s="6" t="s">
        <v>110</v>
      </c>
      <c r="D94" s="6" t="s">
        <v>535</v>
      </c>
      <c r="E94" s="6" t="s">
        <v>407</v>
      </c>
      <c r="F94" s="6" t="s">
        <v>408</v>
      </c>
      <c r="G94" s="6" t="s">
        <v>485</v>
      </c>
      <c r="H94" s="7" t="n">
        <v>3</v>
      </c>
      <c r="I94" s="8" t="n">
        <v>1</v>
      </c>
      <c r="J94" s="9" t="n">
        <v>462.73</v>
      </c>
      <c r="K94" s="8" t="s">
        <v>35</v>
      </c>
      <c r="L94" s="10" t="s">
        <v>98</v>
      </c>
      <c r="M94" s="10" t="s">
        <v>409</v>
      </c>
      <c r="N94" s="10" t="s">
        <v>410</v>
      </c>
      <c r="O94" s="8" t="str">
        <f aca="false">IF(M94="prescription","Yes","No")</f>
        <v>Yes</v>
      </c>
      <c r="P94" s="6"/>
      <c r="Q94" s="6" t="s">
        <v>536</v>
      </c>
    </row>
    <row r="95" customFormat="false" ht="15" hidden="false" customHeight="false" outlineLevel="0" collapsed="false">
      <c r="A95" s="6" t="s">
        <v>537</v>
      </c>
      <c r="B95" s="6" t="s">
        <v>538</v>
      </c>
      <c r="C95" s="6" t="s">
        <v>110</v>
      </c>
      <c r="D95" s="6" t="s">
        <v>406</v>
      </c>
      <c r="E95" s="6" t="s">
        <v>407</v>
      </c>
      <c r="F95" s="6" t="s">
        <v>408</v>
      </c>
      <c r="G95" s="6" t="s">
        <v>359</v>
      </c>
      <c r="H95" s="7" t="n">
        <v>0</v>
      </c>
      <c r="I95" s="8" t="n">
        <v>1</v>
      </c>
      <c r="J95" s="9" t="n">
        <v>87.91</v>
      </c>
      <c r="K95" s="8" t="s">
        <v>87</v>
      </c>
      <c r="L95" s="10" t="s">
        <v>98</v>
      </c>
      <c r="M95" s="10" t="s">
        <v>409</v>
      </c>
      <c r="N95" s="10" t="s">
        <v>410</v>
      </c>
      <c r="O95" s="8" t="str">
        <f aca="false">IF(M95="prescription","Yes","No")</f>
        <v>Yes</v>
      </c>
      <c r="P95" s="6" t="s">
        <v>539</v>
      </c>
      <c r="Q95" s="6" t="s">
        <v>540</v>
      </c>
    </row>
    <row r="96" customFormat="false" ht="15" hidden="false" customHeight="false" outlineLevel="0" collapsed="false">
      <c r="A96" s="6" t="s">
        <v>541</v>
      </c>
      <c r="B96" s="6" t="s">
        <v>542</v>
      </c>
      <c r="C96" s="6" t="s">
        <v>543</v>
      </c>
      <c r="D96" s="6" t="s">
        <v>544</v>
      </c>
      <c r="E96" s="6" t="s">
        <v>407</v>
      </c>
      <c r="F96" s="6" t="s">
        <v>408</v>
      </c>
      <c r="G96" s="6" t="s">
        <v>545</v>
      </c>
      <c r="H96" s="7" t="n">
        <v>0</v>
      </c>
      <c r="I96" s="8" t="n">
        <v>1</v>
      </c>
      <c r="J96" s="9" t="n">
        <v>23.8</v>
      </c>
      <c r="K96" s="8" t="s">
        <v>87</v>
      </c>
      <c r="L96" s="10" t="s">
        <v>98</v>
      </c>
      <c r="M96" s="10" t="s">
        <v>409</v>
      </c>
      <c r="N96" s="10" t="s">
        <v>410</v>
      </c>
      <c r="O96" s="8" t="str">
        <f aca="false">IF(M96="prescription","Yes","No")</f>
        <v>Yes</v>
      </c>
      <c r="P96" s="6" t="s">
        <v>89</v>
      </c>
      <c r="Q96" s="6" t="s">
        <v>546</v>
      </c>
    </row>
    <row r="97" customFormat="false" ht="15" hidden="false" customHeight="false" outlineLevel="0" collapsed="false">
      <c r="A97" s="6" t="s">
        <v>547</v>
      </c>
      <c r="B97" s="6" t="s">
        <v>548</v>
      </c>
      <c r="C97" s="6" t="s">
        <v>549</v>
      </c>
      <c r="D97" s="6" t="s">
        <v>550</v>
      </c>
      <c r="E97" s="6" t="s">
        <v>95</v>
      </c>
      <c r="F97" s="6" t="s">
        <v>370</v>
      </c>
      <c r="G97" s="6" t="s">
        <v>509</v>
      </c>
      <c r="H97" s="7" t="n">
        <v>330</v>
      </c>
      <c r="I97" s="8" t="n">
        <v>30</v>
      </c>
      <c r="J97" s="9" t="n">
        <v>131.18</v>
      </c>
      <c r="K97" s="8" t="s">
        <v>35</v>
      </c>
      <c r="L97" s="10" t="s">
        <v>98</v>
      </c>
      <c r="M97" s="10" t="s">
        <v>409</v>
      </c>
      <c r="N97" s="10" t="s">
        <v>410</v>
      </c>
      <c r="O97" s="8" t="str">
        <f aca="false">IF(M97="prescription","Yes","No")</f>
        <v>Yes</v>
      </c>
      <c r="P97" s="6"/>
      <c r="Q97" s="6" t="s">
        <v>551</v>
      </c>
    </row>
    <row r="98" customFormat="false" ht="15" hidden="false" customHeight="false" outlineLevel="0" collapsed="false">
      <c r="A98" s="6" t="s">
        <v>552</v>
      </c>
      <c r="B98" s="6" t="s">
        <v>553</v>
      </c>
      <c r="C98" s="6" t="s">
        <v>554</v>
      </c>
      <c r="D98" s="6" t="s">
        <v>555</v>
      </c>
      <c r="E98" s="6" t="s">
        <v>95</v>
      </c>
      <c r="F98" s="6" t="s">
        <v>370</v>
      </c>
      <c r="G98" s="6" t="s">
        <v>556</v>
      </c>
      <c r="H98" s="7" t="n">
        <v>30</v>
      </c>
      <c r="I98" s="8" t="n">
        <v>10</v>
      </c>
      <c r="J98" s="9" t="n">
        <v>214.98</v>
      </c>
      <c r="K98" s="8" t="s">
        <v>35</v>
      </c>
      <c r="L98" s="10" t="s">
        <v>98</v>
      </c>
      <c r="M98" s="10" t="s">
        <v>409</v>
      </c>
      <c r="N98" s="10" t="s">
        <v>410</v>
      </c>
      <c r="O98" s="8" t="str">
        <f aca="false">IF(M98="prescription","Yes","No")</f>
        <v>Yes</v>
      </c>
      <c r="P98" s="6"/>
      <c r="Q98" s="6" t="s">
        <v>557</v>
      </c>
    </row>
    <row r="99" customFormat="false" ht="15" hidden="false" customHeight="false" outlineLevel="0" collapsed="false">
      <c r="A99" s="6" t="s">
        <v>558</v>
      </c>
      <c r="B99" s="6" t="s">
        <v>559</v>
      </c>
      <c r="C99" s="6" t="s">
        <v>560</v>
      </c>
      <c r="D99" s="6" t="s">
        <v>561</v>
      </c>
      <c r="E99" s="6" t="s">
        <v>106</v>
      </c>
      <c r="F99" s="6" t="s">
        <v>370</v>
      </c>
      <c r="G99" s="6" t="s">
        <v>545</v>
      </c>
      <c r="H99" s="7" t="n">
        <v>113664</v>
      </c>
      <c r="I99" s="8" t="n">
        <v>10</v>
      </c>
      <c r="J99" s="9" t="n">
        <v>10.96</v>
      </c>
      <c r="K99" s="8" t="s">
        <v>35</v>
      </c>
      <c r="L99" s="10" t="s">
        <v>98</v>
      </c>
      <c r="M99" s="10" t="s">
        <v>409</v>
      </c>
      <c r="N99" s="10" t="s">
        <v>410</v>
      </c>
      <c r="O99" s="8" t="str">
        <f aca="false">IF(M99="prescription","Yes","No")</f>
        <v>Yes</v>
      </c>
      <c r="P99" s="6"/>
      <c r="Q99" s="6" t="s">
        <v>562</v>
      </c>
    </row>
    <row r="100" customFormat="false" ht="15" hidden="false" customHeight="false" outlineLevel="0" collapsed="false">
      <c r="A100" s="6" t="s">
        <v>563</v>
      </c>
      <c r="B100" s="6" t="s">
        <v>564</v>
      </c>
      <c r="C100" s="6" t="s">
        <v>554</v>
      </c>
      <c r="D100" s="6" t="s">
        <v>565</v>
      </c>
      <c r="E100" s="6" t="s">
        <v>407</v>
      </c>
      <c r="F100" s="6" t="s">
        <v>408</v>
      </c>
      <c r="G100" s="6" t="s">
        <v>485</v>
      </c>
      <c r="H100" s="7" t="n">
        <v>166</v>
      </c>
      <c r="I100" s="8" t="n">
        <v>1</v>
      </c>
      <c r="J100" s="9" t="n">
        <v>104.9</v>
      </c>
      <c r="K100" s="8" t="s">
        <v>35</v>
      </c>
      <c r="L100" s="10" t="s">
        <v>98</v>
      </c>
      <c r="M100" s="10" t="s">
        <v>409</v>
      </c>
      <c r="N100" s="10" t="s">
        <v>410</v>
      </c>
      <c r="O100" s="8" t="str">
        <f aca="false">IF(M100="prescription","Yes","No")</f>
        <v>Yes</v>
      </c>
      <c r="P100" s="6"/>
      <c r="Q100" s="6" t="s">
        <v>566</v>
      </c>
    </row>
    <row r="101" customFormat="false" ht="15" hidden="false" customHeight="false" outlineLevel="0" collapsed="false">
      <c r="A101" s="6" t="s">
        <v>567</v>
      </c>
      <c r="B101" s="6" t="s">
        <v>568</v>
      </c>
      <c r="C101" s="6" t="s">
        <v>569</v>
      </c>
      <c r="D101" s="6" t="s">
        <v>420</v>
      </c>
      <c r="E101" s="6" t="s">
        <v>95</v>
      </c>
      <c r="F101" s="6" t="s">
        <v>370</v>
      </c>
      <c r="G101" s="6" t="s">
        <v>416</v>
      </c>
      <c r="H101" s="7" t="n">
        <v>308</v>
      </c>
      <c r="I101" s="8" t="n">
        <v>14</v>
      </c>
      <c r="J101" s="9" t="n">
        <v>67.96</v>
      </c>
      <c r="K101" s="8" t="s">
        <v>35</v>
      </c>
      <c r="L101" s="10" t="s">
        <v>98</v>
      </c>
      <c r="M101" s="10" t="s">
        <v>409</v>
      </c>
      <c r="N101" s="10" t="s">
        <v>410</v>
      </c>
      <c r="O101" s="8" t="str">
        <f aca="false">IF(M101="prescription","Yes","No")</f>
        <v>Yes</v>
      </c>
      <c r="P101" s="6"/>
      <c r="Q101" s="6" t="s">
        <v>570</v>
      </c>
    </row>
    <row r="102" customFormat="false" ht="15" hidden="false" customHeight="false" outlineLevel="0" collapsed="false">
      <c r="A102" s="6" t="s">
        <v>571</v>
      </c>
      <c r="B102" s="6" t="s">
        <v>572</v>
      </c>
      <c r="C102" s="6" t="s">
        <v>554</v>
      </c>
      <c r="D102" s="6" t="s">
        <v>573</v>
      </c>
      <c r="E102" s="6" t="s">
        <v>95</v>
      </c>
      <c r="F102" s="6" t="s">
        <v>370</v>
      </c>
      <c r="G102" s="6" t="s">
        <v>556</v>
      </c>
      <c r="H102" s="7" t="n">
        <v>845</v>
      </c>
      <c r="I102" s="8" t="n">
        <v>10</v>
      </c>
      <c r="J102" s="9" t="n">
        <v>43.5</v>
      </c>
      <c r="K102" s="8" t="s">
        <v>35</v>
      </c>
      <c r="L102" s="10" t="s">
        <v>98</v>
      </c>
      <c r="M102" s="10" t="s">
        <v>409</v>
      </c>
      <c r="N102" s="10" t="s">
        <v>410</v>
      </c>
      <c r="O102" s="8" t="str">
        <f aca="false">IF(M102="prescription","Yes","No")</f>
        <v>Yes</v>
      </c>
      <c r="P102" s="6"/>
      <c r="Q102" s="6" t="s">
        <v>574</v>
      </c>
    </row>
    <row r="103" customFormat="false" ht="15" hidden="false" customHeight="false" outlineLevel="0" collapsed="false">
      <c r="A103" s="6" t="s">
        <v>575</v>
      </c>
      <c r="B103" s="6" t="s">
        <v>576</v>
      </c>
      <c r="C103" s="6" t="s">
        <v>560</v>
      </c>
      <c r="D103" s="6" t="s">
        <v>577</v>
      </c>
      <c r="E103" s="6" t="s">
        <v>407</v>
      </c>
      <c r="F103" s="6" t="s">
        <v>408</v>
      </c>
      <c r="G103" s="6" t="s">
        <v>578</v>
      </c>
      <c r="H103" s="7" t="n">
        <v>394</v>
      </c>
      <c r="I103" s="8" t="n">
        <v>1</v>
      </c>
      <c r="J103" s="9" t="n">
        <v>1.6</v>
      </c>
      <c r="K103" s="8" t="s">
        <v>35</v>
      </c>
      <c r="L103" s="10" t="s">
        <v>98</v>
      </c>
      <c r="M103" s="10" t="s">
        <v>409</v>
      </c>
      <c r="N103" s="10" t="s">
        <v>410</v>
      </c>
      <c r="O103" s="8" t="str">
        <f aca="false">IF(M103="prescription","Yes","No")</f>
        <v>Yes</v>
      </c>
      <c r="P103" s="6"/>
      <c r="Q103" s="6" t="s">
        <v>579</v>
      </c>
    </row>
    <row r="104" customFormat="false" ht="15" hidden="false" customHeight="false" outlineLevel="0" collapsed="false">
      <c r="A104" s="6" t="s">
        <v>580</v>
      </c>
      <c r="B104" s="6" t="s">
        <v>581</v>
      </c>
      <c r="C104" s="6" t="s">
        <v>582</v>
      </c>
      <c r="D104" s="6" t="s">
        <v>583</v>
      </c>
      <c r="E104" s="6" t="s">
        <v>95</v>
      </c>
      <c r="F104" s="6" t="s">
        <v>584</v>
      </c>
      <c r="G104" s="6" t="s">
        <v>585</v>
      </c>
      <c r="H104" s="7" t="n">
        <v>80</v>
      </c>
      <c r="I104" s="8" t="n">
        <v>10</v>
      </c>
      <c r="J104" s="9" t="n">
        <v>121.39</v>
      </c>
      <c r="K104" s="8" t="s">
        <v>35</v>
      </c>
      <c r="L104" s="10" t="s">
        <v>98</v>
      </c>
      <c r="M104" s="10" t="s">
        <v>409</v>
      </c>
      <c r="N104" s="10" t="s">
        <v>586</v>
      </c>
      <c r="O104" s="8" t="str">
        <f aca="false">IF(M104="prescription","Yes","No")</f>
        <v>Yes</v>
      </c>
      <c r="P104" s="6"/>
      <c r="Q104" s="6" t="s">
        <v>587</v>
      </c>
    </row>
    <row r="105" customFormat="false" ht="15" hidden="false" customHeight="false" outlineLevel="0" collapsed="false">
      <c r="A105" s="6" t="s">
        <v>588</v>
      </c>
      <c r="B105" s="6" t="s">
        <v>589</v>
      </c>
      <c r="C105" s="6" t="s">
        <v>590</v>
      </c>
      <c r="D105" s="6" t="s">
        <v>591</v>
      </c>
      <c r="E105" s="6" t="s">
        <v>95</v>
      </c>
      <c r="F105" s="6" t="s">
        <v>584</v>
      </c>
      <c r="G105" s="6" t="s">
        <v>592</v>
      </c>
      <c r="H105" s="7" t="n">
        <v>50</v>
      </c>
      <c r="I105" s="8" t="n">
        <v>3</v>
      </c>
      <c r="J105" s="9" t="n">
        <v>15.93</v>
      </c>
      <c r="K105" s="8" t="s">
        <v>35</v>
      </c>
      <c r="L105" s="10" t="s">
        <v>98</v>
      </c>
      <c r="M105" s="10" t="s">
        <v>409</v>
      </c>
      <c r="N105" s="10" t="s">
        <v>586</v>
      </c>
      <c r="O105" s="8" t="str">
        <f aca="false">IF(M105="prescription","Yes","No")</f>
        <v>Yes</v>
      </c>
      <c r="P105" s="6"/>
      <c r="Q105" s="6" t="s">
        <v>593</v>
      </c>
    </row>
    <row r="106" customFormat="false" ht="15" hidden="false" customHeight="false" outlineLevel="0" collapsed="false">
      <c r="A106" s="6" t="s">
        <v>594</v>
      </c>
      <c r="B106" s="6" t="s">
        <v>595</v>
      </c>
      <c r="C106" s="6" t="s">
        <v>93</v>
      </c>
      <c r="D106" s="6" t="s">
        <v>596</v>
      </c>
      <c r="E106" s="6" t="s">
        <v>106</v>
      </c>
      <c r="F106" s="6" t="s">
        <v>584</v>
      </c>
      <c r="G106" s="6" t="s">
        <v>597</v>
      </c>
      <c r="H106" s="7" t="n">
        <v>312</v>
      </c>
      <c r="I106" s="8" t="n">
        <v>10</v>
      </c>
      <c r="J106" s="9" t="n">
        <v>12.75</v>
      </c>
      <c r="K106" s="8" t="s">
        <v>35</v>
      </c>
      <c r="L106" s="10" t="s">
        <v>98</v>
      </c>
      <c r="M106" s="10" t="s">
        <v>409</v>
      </c>
      <c r="N106" s="10" t="s">
        <v>586</v>
      </c>
      <c r="O106" s="8" t="str">
        <f aca="false">IF(M106="prescription","Yes","No")</f>
        <v>Yes</v>
      </c>
      <c r="P106" s="6"/>
      <c r="Q106" s="6" t="s">
        <v>598</v>
      </c>
    </row>
    <row r="107" customFormat="false" ht="15" hidden="false" customHeight="false" outlineLevel="0" collapsed="false">
      <c r="A107" s="6" t="s">
        <v>599</v>
      </c>
      <c r="B107" s="6" t="s">
        <v>600</v>
      </c>
      <c r="C107" s="6" t="s">
        <v>210</v>
      </c>
      <c r="D107" s="6" t="s">
        <v>601</v>
      </c>
      <c r="E107" s="6" t="s">
        <v>344</v>
      </c>
      <c r="F107" s="6" t="s">
        <v>602</v>
      </c>
      <c r="G107" s="6" t="s">
        <v>597</v>
      </c>
      <c r="H107" s="7" t="n">
        <v>25</v>
      </c>
      <c r="I107" s="8" t="n">
        <v>1</v>
      </c>
      <c r="J107" s="9" t="n">
        <v>30.56</v>
      </c>
      <c r="K107" s="8" t="s">
        <v>35</v>
      </c>
      <c r="L107" s="10" t="s">
        <v>98</v>
      </c>
      <c r="M107" s="10" t="s">
        <v>409</v>
      </c>
      <c r="N107" s="10" t="s">
        <v>586</v>
      </c>
      <c r="O107" s="8" t="str">
        <f aca="false">IF(M107="prescription","Yes","No")</f>
        <v>Yes</v>
      </c>
      <c r="P107" s="6"/>
      <c r="Q107" s="6" t="s">
        <v>603</v>
      </c>
    </row>
    <row r="108" customFormat="false" ht="15" hidden="false" customHeight="false" outlineLevel="0" collapsed="false">
      <c r="A108" s="6" t="s">
        <v>604</v>
      </c>
      <c r="B108" s="6" t="s">
        <v>605</v>
      </c>
      <c r="C108" s="6" t="s">
        <v>454</v>
      </c>
      <c r="D108" s="6" t="s">
        <v>606</v>
      </c>
      <c r="E108" s="6" t="s">
        <v>106</v>
      </c>
      <c r="F108" s="6" t="s">
        <v>584</v>
      </c>
      <c r="G108" s="6" t="s">
        <v>597</v>
      </c>
      <c r="H108" s="7" t="n">
        <v>0</v>
      </c>
      <c r="I108" s="8" t="n">
        <v>10</v>
      </c>
      <c r="J108" s="9" t="n">
        <v>4</v>
      </c>
      <c r="K108" s="8" t="s">
        <v>87</v>
      </c>
      <c r="L108" s="10" t="s">
        <v>98</v>
      </c>
      <c r="M108" s="10" t="s">
        <v>409</v>
      </c>
      <c r="N108" s="10" t="s">
        <v>586</v>
      </c>
      <c r="O108" s="8" t="str">
        <f aca="false">IF(M108="prescription","Yes","No")</f>
        <v>Yes</v>
      </c>
      <c r="P108" s="6" t="s">
        <v>89</v>
      </c>
      <c r="Q108" s="6" t="s">
        <v>607</v>
      </c>
    </row>
    <row r="109" customFormat="false" ht="15" hidden="false" customHeight="false" outlineLevel="0" collapsed="false">
      <c r="A109" s="6" t="s">
        <v>608</v>
      </c>
      <c r="B109" s="6" t="s">
        <v>609</v>
      </c>
      <c r="C109" s="6" t="s">
        <v>610</v>
      </c>
      <c r="D109" s="6" t="s">
        <v>583</v>
      </c>
      <c r="E109" s="6" t="s">
        <v>106</v>
      </c>
      <c r="F109" s="6" t="s">
        <v>584</v>
      </c>
      <c r="G109" s="6" t="s">
        <v>585</v>
      </c>
      <c r="H109" s="7" t="n">
        <v>0</v>
      </c>
      <c r="I109" s="8" t="n">
        <v>10</v>
      </c>
      <c r="J109" s="9" t="n">
        <v>555.22</v>
      </c>
      <c r="K109" s="8" t="s">
        <v>87</v>
      </c>
      <c r="L109" s="10" t="s">
        <v>98</v>
      </c>
      <c r="M109" s="10" t="s">
        <v>409</v>
      </c>
      <c r="N109" s="10" t="s">
        <v>586</v>
      </c>
      <c r="O109" s="8" t="str">
        <f aca="false">IF(M109="prescription","Yes","No")</f>
        <v>Yes</v>
      </c>
      <c r="P109" s="6" t="s">
        <v>89</v>
      </c>
      <c r="Q109" s="6" t="s">
        <v>611</v>
      </c>
    </row>
    <row r="110" customFormat="false" ht="15" hidden="false" customHeight="false" outlineLevel="0" collapsed="false">
      <c r="A110" s="6" t="s">
        <v>612</v>
      </c>
      <c r="B110" s="6" t="s">
        <v>613</v>
      </c>
      <c r="C110" s="6" t="s">
        <v>424</v>
      </c>
      <c r="D110" s="6" t="s">
        <v>614</v>
      </c>
      <c r="E110" s="6" t="s">
        <v>95</v>
      </c>
      <c r="F110" s="6" t="s">
        <v>584</v>
      </c>
      <c r="G110" s="6" t="s">
        <v>615</v>
      </c>
      <c r="H110" s="7" t="n">
        <v>26</v>
      </c>
      <c r="I110" s="8" t="n">
        <v>10</v>
      </c>
      <c r="J110" s="9" t="n">
        <v>96.95</v>
      </c>
      <c r="K110" s="8" t="s">
        <v>35</v>
      </c>
      <c r="L110" s="10" t="s">
        <v>98</v>
      </c>
      <c r="M110" s="10" t="s">
        <v>409</v>
      </c>
      <c r="N110" s="10" t="s">
        <v>586</v>
      </c>
      <c r="O110" s="8" t="str">
        <f aca="false">IF(M110="prescription","Yes","No")</f>
        <v>Yes</v>
      </c>
      <c r="P110" s="6"/>
      <c r="Q110" s="6" t="s">
        <v>616</v>
      </c>
    </row>
    <row r="111" customFormat="false" ht="15" hidden="false" customHeight="false" outlineLevel="0" collapsed="false">
      <c r="A111" s="6" t="s">
        <v>617</v>
      </c>
      <c r="B111" s="6" t="s">
        <v>618</v>
      </c>
      <c r="C111" s="6" t="s">
        <v>454</v>
      </c>
      <c r="D111" s="6" t="s">
        <v>591</v>
      </c>
      <c r="E111" s="6" t="s">
        <v>95</v>
      </c>
      <c r="F111" s="6" t="s">
        <v>584</v>
      </c>
      <c r="G111" s="6" t="s">
        <v>592</v>
      </c>
      <c r="H111" s="7" t="n">
        <v>460</v>
      </c>
      <c r="I111" s="8" t="n">
        <v>3</v>
      </c>
      <c r="J111" s="9" t="n">
        <v>13.62</v>
      </c>
      <c r="K111" s="8" t="s">
        <v>35</v>
      </c>
      <c r="L111" s="10" t="s">
        <v>98</v>
      </c>
      <c r="M111" s="10" t="s">
        <v>409</v>
      </c>
      <c r="N111" s="10" t="s">
        <v>586</v>
      </c>
      <c r="O111" s="8" t="str">
        <f aca="false">IF(M111="prescription","Yes","No")</f>
        <v>Yes</v>
      </c>
      <c r="P111" s="6"/>
      <c r="Q111" s="6" t="s">
        <v>619</v>
      </c>
    </row>
    <row r="112" customFormat="false" ht="15" hidden="false" customHeight="false" outlineLevel="0" collapsed="false">
      <c r="A112" s="6" t="s">
        <v>620</v>
      </c>
      <c r="B112" s="6" t="s">
        <v>621</v>
      </c>
      <c r="C112" s="6" t="s">
        <v>93</v>
      </c>
      <c r="D112" s="6" t="s">
        <v>622</v>
      </c>
      <c r="E112" s="6" t="s">
        <v>344</v>
      </c>
      <c r="F112" s="6" t="s">
        <v>602</v>
      </c>
      <c r="G112" s="6" t="s">
        <v>592</v>
      </c>
      <c r="H112" s="7" t="n">
        <v>44</v>
      </c>
      <c r="I112" s="8" t="n">
        <v>1</v>
      </c>
      <c r="J112" s="9" t="n">
        <v>13.94</v>
      </c>
      <c r="K112" s="8" t="s">
        <v>35</v>
      </c>
      <c r="L112" s="10" t="s">
        <v>98</v>
      </c>
      <c r="M112" s="10" t="s">
        <v>409</v>
      </c>
      <c r="N112" s="10" t="s">
        <v>586</v>
      </c>
      <c r="O112" s="8" t="str">
        <f aca="false">IF(M112="prescription","Yes","No")</f>
        <v>Yes</v>
      </c>
      <c r="P112" s="6"/>
      <c r="Q112" s="6" t="s">
        <v>623</v>
      </c>
    </row>
    <row r="113" customFormat="false" ht="15" hidden="false" customHeight="false" outlineLevel="0" collapsed="false">
      <c r="A113" s="6" t="s">
        <v>624</v>
      </c>
      <c r="B113" s="6" t="s">
        <v>625</v>
      </c>
      <c r="C113" s="6" t="s">
        <v>93</v>
      </c>
      <c r="D113" s="6" t="s">
        <v>626</v>
      </c>
      <c r="E113" s="6" t="s">
        <v>344</v>
      </c>
      <c r="F113" s="6" t="s">
        <v>602</v>
      </c>
      <c r="G113" s="6" t="s">
        <v>615</v>
      </c>
      <c r="H113" s="7" t="n">
        <v>188</v>
      </c>
      <c r="I113" s="8" t="n">
        <v>1</v>
      </c>
      <c r="J113" s="9" t="n">
        <v>35.93</v>
      </c>
      <c r="K113" s="8" t="s">
        <v>35</v>
      </c>
      <c r="L113" s="10" t="s">
        <v>98</v>
      </c>
      <c r="M113" s="10" t="s">
        <v>409</v>
      </c>
      <c r="N113" s="10" t="s">
        <v>586</v>
      </c>
      <c r="O113" s="8" t="str">
        <f aca="false">IF(M113="prescription","Yes","No")</f>
        <v>Yes</v>
      </c>
      <c r="P113" s="6"/>
      <c r="Q113" s="6" t="s">
        <v>627</v>
      </c>
    </row>
    <row r="114" customFormat="false" ht="15" hidden="false" customHeight="false" outlineLevel="0" collapsed="false">
      <c r="A114" s="6" t="s">
        <v>628</v>
      </c>
      <c r="B114" s="6" t="s">
        <v>629</v>
      </c>
      <c r="C114" s="6" t="s">
        <v>554</v>
      </c>
      <c r="D114" s="6" t="s">
        <v>630</v>
      </c>
      <c r="E114" s="6" t="s">
        <v>344</v>
      </c>
      <c r="F114" s="6" t="s">
        <v>602</v>
      </c>
      <c r="G114" s="6" t="s">
        <v>615</v>
      </c>
      <c r="H114" s="7" t="n">
        <v>42</v>
      </c>
      <c r="I114" s="8" t="n">
        <v>1</v>
      </c>
      <c r="J114" s="9" t="n">
        <v>53.33</v>
      </c>
      <c r="K114" s="8" t="s">
        <v>35</v>
      </c>
      <c r="L114" s="10" t="s">
        <v>98</v>
      </c>
      <c r="M114" s="10" t="s">
        <v>409</v>
      </c>
      <c r="N114" s="10" t="s">
        <v>586</v>
      </c>
      <c r="O114" s="8" t="str">
        <f aca="false">IF(M114="prescription","Yes","No")</f>
        <v>Yes</v>
      </c>
      <c r="P114" s="6"/>
      <c r="Q114" s="6" t="s">
        <v>631</v>
      </c>
    </row>
    <row r="115" customFormat="false" ht="15" hidden="false" customHeight="false" outlineLevel="0" collapsed="false">
      <c r="A115" s="6" t="s">
        <v>632</v>
      </c>
      <c r="B115" s="6" t="s">
        <v>633</v>
      </c>
      <c r="C115" s="6" t="s">
        <v>560</v>
      </c>
      <c r="D115" s="6" t="s">
        <v>634</v>
      </c>
      <c r="E115" s="6" t="s">
        <v>95</v>
      </c>
      <c r="F115" s="6" t="s">
        <v>584</v>
      </c>
      <c r="G115" s="6" t="s">
        <v>615</v>
      </c>
      <c r="H115" s="7" t="n">
        <v>1163</v>
      </c>
      <c r="I115" s="8" t="n">
        <v>10</v>
      </c>
      <c r="J115" s="9" t="n">
        <v>41.17</v>
      </c>
      <c r="K115" s="8" t="s">
        <v>35</v>
      </c>
      <c r="L115" s="10" t="s">
        <v>98</v>
      </c>
      <c r="M115" s="10" t="s">
        <v>409</v>
      </c>
      <c r="N115" s="10" t="s">
        <v>586</v>
      </c>
      <c r="O115" s="8" t="str">
        <f aca="false">IF(M115="prescription","Yes","No")</f>
        <v>Yes</v>
      </c>
      <c r="P115" s="6"/>
      <c r="Q115" s="6" t="s">
        <v>635</v>
      </c>
    </row>
    <row r="116" customFormat="false" ht="15" hidden="false" customHeight="false" outlineLevel="0" collapsed="false">
      <c r="A116" s="6" t="s">
        <v>636</v>
      </c>
      <c r="B116" s="6" t="s">
        <v>637</v>
      </c>
      <c r="C116" s="6" t="s">
        <v>638</v>
      </c>
      <c r="D116" s="6" t="s">
        <v>639</v>
      </c>
      <c r="E116" s="6" t="s">
        <v>407</v>
      </c>
      <c r="F116" s="6" t="s">
        <v>640</v>
      </c>
      <c r="G116" s="6" t="s">
        <v>615</v>
      </c>
      <c r="H116" s="7" t="n">
        <v>15</v>
      </c>
      <c r="I116" s="8" t="n">
        <v>1</v>
      </c>
      <c r="J116" s="9" t="n">
        <v>19.86</v>
      </c>
      <c r="K116" s="8" t="s">
        <v>35</v>
      </c>
      <c r="L116" s="10" t="s">
        <v>98</v>
      </c>
      <c r="M116" s="10" t="s">
        <v>409</v>
      </c>
      <c r="N116" s="10" t="s">
        <v>586</v>
      </c>
      <c r="O116" s="8" t="str">
        <f aca="false">IF(M116="prescription","Yes","No")</f>
        <v>Yes</v>
      </c>
      <c r="P116" s="6"/>
      <c r="Q116" s="6" t="s">
        <v>641</v>
      </c>
    </row>
    <row r="117" customFormat="false" ht="15" hidden="false" customHeight="false" outlineLevel="0" collapsed="false">
      <c r="A117" s="6" t="s">
        <v>642</v>
      </c>
      <c r="B117" s="6" t="s">
        <v>643</v>
      </c>
      <c r="C117" s="6" t="s">
        <v>560</v>
      </c>
      <c r="D117" s="6" t="s">
        <v>644</v>
      </c>
      <c r="E117" s="6" t="s">
        <v>407</v>
      </c>
      <c r="F117" s="6" t="s">
        <v>640</v>
      </c>
      <c r="G117" s="6" t="s">
        <v>645</v>
      </c>
      <c r="H117" s="7" t="n">
        <v>45</v>
      </c>
      <c r="I117" s="8" t="n">
        <v>1</v>
      </c>
      <c r="J117" s="9" t="n">
        <v>50.25</v>
      </c>
      <c r="K117" s="8" t="s">
        <v>35</v>
      </c>
      <c r="L117" s="10" t="s">
        <v>98</v>
      </c>
      <c r="M117" s="10" t="s">
        <v>409</v>
      </c>
      <c r="N117" s="10" t="s">
        <v>586</v>
      </c>
      <c r="O117" s="8" t="str">
        <f aca="false">IF(M117="prescription","Yes","No")</f>
        <v>Yes</v>
      </c>
      <c r="P117" s="6"/>
      <c r="Q117" s="6" t="s">
        <v>646</v>
      </c>
    </row>
    <row r="118" customFormat="false" ht="15" hidden="false" customHeight="false" outlineLevel="0" collapsed="false">
      <c r="A118" s="6" t="s">
        <v>647</v>
      </c>
      <c r="B118" s="6" t="s">
        <v>648</v>
      </c>
      <c r="C118" s="6" t="s">
        <v>638</v>
      </c>
      <c r="D118" s="6" t="s">
        <v>649</v>
      </c>
      <c r="E118" s="6" t="s">
        <v>407</v>
      </c>
      <c r="F118" s="6" t="s">
        <v>640</v>
      </c>
      <c r="G118" s="6" t="s">
        <v>615</v>
      </c>
      <c r="H118" s="7" t="n">
        <v>226</v>
      </c>
      <c r="I118" s="8" t="n">
        <v>1</v>
      </c>
      <c r="J118" s="9" t="n">
        <v>9.97</v>
      </c>
      <c r="K118" s="8" t="s">
        <v>35</v>
      </c>
      <c r="L118" s="10" t="s">
        <v>98</v>
      </c>
      <c r="M118" s="10" t="s">
        <v>409</v>
      </c>
      <c r="N118" s="10" t="s">
        <v>586</v>
      </c>
      <c r="O118" s="8" t="str">
        <f aca="false">IF(M118="prescription","Yes","No")</f>
        <v>Yes</v>
      </c>
      <c r="P118" s="6"/>
      <c r="Q118" s="6" t="s">
        <v>650</v>
      </c>
    </row>
    <row r="119" customFormat="false" ht="15" hidden="false" customHeight="false" outlineLevel="0" collapsed="false">
      <c r="A119" s="6" t="s">
        <v>651</v>
      </c>
      <c r="B119" s="6" t="s">
        <v>652</v>
      </c>
      <c r="C119" s="6" t="s">
        <v>199</v>
      </c>
      <c r="D119" s="6" t="s">
        <v>653</v>
      </c>
      <c r="E119" s="6" t="s">
        <v>95</v>
      </c>
      <c r="F119" s="6" t="s">
        <v>584</v>
      </c>
      <c r="G119" s="6" t="s">
        <v>654</v>
      </c>
      <c r="H119" s="7" t="n">
        <v>7</v>
      </c>
      <c r="I119" s="8" t="n">
        <v>10</v>
      </c>
      <c r="J119" s="9" t="n">
        <v>73.53</v>
      </c>
      <c r="K119" s="8" t="s">
        <v>35</v>
      </c>
      <c r="L119" s="10" t="s">
        <v>98</v>
      </c>
      <c r="M119" s="10" t="s">
        <v>409</v>
      </c>
      <c r="N119" s="10" t="s">
        <v>586</v>
      </c>
      <c r="O119" s="8" t="str">
        <f aca="false">IF(M119="prescription","Yes","No")</f>
        <v>Yes</v>
      </c>
      <c r="P119" s="6"/>
      <c r="Q119" s="6" t="s">
        <v>655</v>
      </c>
    </row>
    <row r="120" customFormat="false" ht="15" hidden="false" customHeight="false" outlineLevel="0" collapsed="false">
      <c r="A120" s="6" t="s">
        <v>656</v>
      </c>
      <c r="B120" s="6" t="s">
        <v>657</v>
      </c>
      <c r="C120" s="6" t="s">
        <v>483</v>
      </c>
      <c r="D120" s="6" t="s">
        <v>658</v>
      </c>
      <c r="E120" s="6" t="s">
        <v>301</v>
      </c>
      <c r="F120" s="6" t="s">
        <v>659</v>
      </c>
      <c r="G120" s="6" t="s">
        <v>660</v>
      </c>
      <c r="H120" s="7" t="n">
        <v>110</v>
      </c>
      <c r="I120" s="8" t="n">
        <v>1</v>
      </c>
      <c r="J120" s="9" t="n">
        <v>9.08</v>
      </c>
      <c r="K120" s="8" t="s">
        <v>35</v>
      </c>
      <c r="L120" s="10" t="s">
        <v>98</v>
      </c>
      <c r="M120" s="10" t="s">
        <v>409</v>
      </c>
      <c r="N120" s="10" t="s">
        <v>586</v>
      </c>
      <c r="O120" s="8" t="str">
        <f aca="false">IF(M120="prescription","Yes","No")</f>
        <v>Yes</v>
      </c>
      <c r="P120" s="6"/>
      <c r="Q120" s="6" t="s">
        <v>661</v>
      </c>
    </row>
    <row r="121" customFormat="false" ht="15" hidden="false" customHeight="false" outlineLevel="0" collapsed="false">
      <c r="A121" s="6" t="s">
        <v>662</v>
      </c>
      <c r="B121" s="6" t="s">
        <v>663</v>
      </c>
      <c r="C121" s="6" t="s">
        <v>472</v>
      </c>
      <c r="D121" s="6" t="s">
        <v>664</v>
      </c>
      <c r="E121" s="6" t="s">
        <v>112</v>
      </c>
      <c r="F121" s="6" t="s">
        <v>602</v>
      </c>
      <c r="G121" s="6" t="s">
        <v>665</v>
      </c>
      <c r="H121" s="7" t="n">
        <v>108</v>
      </c>
      <c r="I121" s="8" t="n">
        <v>1</v>
      </c>
      <c r="J121" s="9" t="n">
        <v>88.6</v>
      </c>
      <c r="K121" s="8" t="s">
        <v>35</v>
      </c>
      <c r="L121" s="10" t="s">
        <v>98</v>
      </c>
      <c r="M121" s="10" t="s">
        <v>409</v>
      </c>
      <c r="N121" s="10" t="s">
        <v>586</v>
      </c>
      <c r="O121" s="8" t="str">
        <f aca="false">IF(M121="prescription","Yes","No")</f>
        <v>Yes</v>
      </c>
      <c r="P121" s="6"/>
      <c r="Q121" s="6" t="s">
        <v>666</v>
      </c>
    </row>
    <row r="122" customFormat="false" ht="15" hidden="false" customHeight="false" outlineLevel="0" collapsed="false">
      <c r="A122" s="6" t="s">
        <v>667</v>
      </c>
      <c r="B122" s="6" t="s">
        <v>668</v>
      </c>
      <c r="C122" s="6" t="s">
        <v>669</v>
      </c>
      <c r="D122" s="6" t="s">
        <v>670</v>
      </c>
      <c r="E122" s="6" t="s">
        <v>95</v>
      </c>
      <c r="F122" s="6" t="s">
        <v>584</v>
      </c>
      <c r="G122" s="6" t="s">
        <v>592</v>
      </c>
      <c r="H122" s="7" t="n">
        <v>855</v>
      </c>
      <c r="I122" s="8" t="n">
        <v>10</v>
      </c>
      <c r="J122" s="9" t="n">
        <v>70.12</v>
      </c>
      <c r="K122" s="8" t="s">
        <v>35</v>
      </c>
      <c r="L122" s="10" t="s">
        <v>98</v>
      </c>
      <c r="M122" s="10" t="s">
        <v>409</v>
      </c>
      <c r="N122" s="10" t="s">
        <v>586</v>
      </c>
      <c r="O122" s="8" t="str">
        <f aca="false">IF(M122="prescription","Yes","No")</f>
        <v>Yes</v>
      </c>
      <c r="P122" s="6"/>
      <c r="Q122" s="6" t="s">
        <v>671</v>
      </c>
    </row>
    <row r="123" customFormat="false" ht="15" hidden="false" customHeight="false" outlineLevel="0" collapsed="false">
      <c r="A123" s="6" t="s">
        <v>672</v>
      </c>
      <c r="B123" s="6" t="s">
        <v>673</v>
      </c>
      <c r="C123" s="6" t="s">
        <v>454</v>
      </c>
      <c r="D123" s="6" t="s">
        <v>596</v>
      </c>
      <c r="E123" s="6" t="s">
        <v>106</v>
      </c>
      <c r="F123" s="6" t="s">
        <v>584</v>
      </c>
      <c r="G123" s="6" t="s">
        <v>597</v>
      </c>
      <c r="H123" s="7" t="n">
        <v>11800</v>
      </c>
      <c r="I123" s="8" t="n">
        <v>10</v>
      </c>
      <c r="J123" s="9" t="n">
        <v>8.18</v>
      </c>
      <c r="K123" s="8" t="s">
        <v>35</v>
      </c>
      <c r="L123" s="10" t="s">
        <v>98</v>
      </c>
      <c r="M123" s="10" t="s">
        <v>409</v>
      </c>
      <c r="N123" s="10" t="s">
        <v>586</v>
      </c>
      <c r="O123" s="8" t="str">
        <f aca="false">IF(M123="prescription","Yes","No")</f>
        <v>Yes</v>
      </c>
      <c r="P123" s="6"/>
      <c r="Q123" s="6" t="s">
        <v>674</v>
      </c>
    </row>
    <row r="124" customFormat="false" ht="15" hidden="false" customHeight="false" outlineLevel="0" collapsed="false">
      <c r="A124" s="6" t="s">
        <v>675</v>
      </c>
      <c r="B124" s="6" t="s">
        <v>676</v>
      </c>
      <c r="C124" s="6" t="s">
        <v>677</v>
      </c>
      <c r="D124" s="6" t="s">
        <v>678</v>
      </c>
      <c r="E124" s="6" t="s">
        <v>344</v>
      </c>
      <c r="F124" s="6" t="s">
        <v>602</v>
      </c>
      <c r="G124" s="6" t="s">
        <v>597</v>
      </c>
      <c r="H124" s="7" t="n">
        <v>28</v>
      </c>
      <c r="I124" s="8" t="n">
        <v>1</v>
      </c>
      <c r="J124" s="9" t="n">
        <v>30.46</v>
      </c>
      <c r="K124" s="8" t="s">
        <v>35</v>
      </c>
      <c r="L124" s="10" t="s">
        <v>98</v>
      </c>
      <c r="M124" s="10" t="s">
        <v>409</v>
      </c>
      <c r="N124" s="10" t="s">
        <v>586</v>
      </c>
      <c r="O124" s="8" t="str">
        <f aca="false">IF(M124="prescription","Yes","No")</f>
        <v>Yes</v>
      </c>
      <c r="P124" s="6"/>
      <c r="Q124" s="6" t="s">
        <v>679</v>
      </c>
    </row>
    <row r="125" customFormat="false" ht="15" hidden="false" customHeight="false" outlineLevel="0" collapsed="false">
      <c r="A125" s="6" t="s">
        <v>680</v>
      </c>
      <c r="B125" s="6" t="s">
        <v>681</v>
      </c>
      <c r="C125" s="6" t="s">
        <v>638</v>
      </c>
      <c r="D125" s="6" t="s">
        <v>682</v>
      </c>
      <c r="E125" s="6" t="s">
        <v>95</v>
      </c>
      <c r="F125" s="6" t="s">
        <v>584</v>
      </c>
      <c r="G125" s="6" t="s">
        <v>683</v>
      </c>
      <c r="H125" s="7" t="n">
        <v>214</v>
      </c>
      <c r="I125" s="8" t="n">
        <v>10</v>
      </c>
      <c r="J125" s="9" t="n">
        <v>3</v>
      </c>
      <c r="K125" s="8" t="s">
        <v>35</v>
      </c>
      <c r="L125" s="10" t="s">
        <v>98</v>
      </c>
      <c r="M125" s="10" t="s">
        <v>409</v>
      </c>
      <c r="N125" s="10" t="s">
        <v>586</v>
      </c>
      <c r="O125" s="8" t="str">
        <f aca="false">IF(M125="prescription","Yes","No")</f>
        <v>Yes</v>
      </c>
      <c r="P125" s="6"/>
      <c r="Q125" s="6" t="s">
        <v>684</v>
      </c>
    </row>
    <row r="126" customFormat="false" ht="15" hidden="false" customHeight="false" outlineLevel="0" collapsed="false">
      <c r="A126" s="6" t="s">
        <v>685</v>
      </c>
      <c r="B126" s="6" t="s">
        <v>686</v>
      </c>
      <c r="C126" s="6" t="s">
        <v>93</v>
      </c>
      <c r="D126" s="6" t="s">
        <v>687</v>
      </c>
      <c r="E126" s="6" t="s">
        <v>106</v>
      </c>
      <c r="F126" s="6" t="s">
        <v>584</v>
      </c>
      <c r="G126" s="6" t="s">
        <v>688</v>
      </c>
      <c r="H126" s="7" t="n">
        <v>5107</v>
      </c>
      <c r="I126" s="8" t="n">
        <v>10</v>
      </c>
      <c r="J126" s="9" t="n">
        <v>7.98</v>
      </c>
      <c r="K126" s="8" t="s">
        <v>35</v>
      </c>
      <c r="L126" s="10" t="s">
        <v>98</v>
      </c>
      <c r="M126" s="10" t="s">
        <v>409</v>
      </c>
      <c r="N126" s="10" t="s">
        <v>586</v>
      </c>
      <c r="O126" s="8" t="str">
        <f aca="false">IF(M126="prescription","Yes","No")</f>
        <v>Yes</v>
      </c>
      <c r="P126" s="6"/>
      <c r="Q126" s="6" t="s">
        <v>689</v>
      </c>
    </row>
    <row r="127" customFormat="false" ht="15" hidden="false" customHeight="false" outlineLevel="0" collapsed="false">
      <c r="A127" s="6" t="s">
        <v>690</v>
      </c>
      <c r="B127" s="6" t="s">
        <v>691</v>
      </c>
      <c r="C127" s="6" t="s">
        <v>199</v>
      </c>
      <c r="D127" s="6" t="s">
        <v>583</v>
      </c>
      <c r="E127" s="6" t="s">
        <v>95</v>
      </c>
      <c r="F127" s="6" t="s">
        <v>584</v>
      </c>
      <c r="G127" s="6" t="s">
        <v>585</v>
      </c>
      <c r="H127" s="7" t="n">
        <v>95</v>
      </c>
      <c r="I127" s="8" t="n">
        <v>10</v>
      </c>
      <c r="J127" s="9" t="n">
        <v>24.78</v>
      </c>
      <c r="K127" s="8" t="s">
        <v>35</v>
      </c>
      <c r="L127" s="10" t="s">
        <v>98</v>
      </c>
      <c r="M127" s="10" t="s">
        <v>409</v>
      </c>
      <c r="N127" s="10" t="s">
        <v>586</v>
      </c>
      <c r="O127" s="8" t="str">
        <f aca="false">IF(M127="prescription","Yes","No")</f>
        <v>Yes</v>
      </c>
      <c r="P127" s="6"/>
      <c r="Q127" s="6" t="s">
        <v>692</v>
      </c>
    </row>
    <row r="128" customFormat="false" ht="15" hidden="false" customHeight="false" outlineLevel="0" collapsed="false">
      <c r="A128" s="6" t="s">
        <v>693</v>
      </c>
      <c r="B128" s="6" t="s">
        <v>694</v>
      </c>
      <c r="C128" s="6" t="s">
        <v>677</v>
      </c>
      <c r="D128" s="6" t="s">
        <v>695</v>
      </c>
      <c r="E128" s="6" t="s">
        <v>344</v>
      </c>
      <c r="F128" s="6" t="s">
        <v>602</v>
      </c>
      <c r="G128" s="6" t="s">
        <v>592</v>
      </c>
      <c r="H128" s="7" t="n">
        <v>0</v>
      </c>
      <c r="I128" s="8" t="n">
        <v>1</v>
      </c>
      <c r="J128" s="9" t="n">
        <v>43.3</v>
      </c>
      <c r="K128" s="8" t="s">
        <v>87</v>
      </c>
      <c r="L128" s="10" t="s">
        <v>98</v>
      </c>
      <c r="M128" s="10" t="s">
        <v>409</v>
      </c>
      <c r="N128" s="10" t="s">
        <v>586</v>
      </c>
      <c r="O128" s="8" t="str">
        <f aca="false">IF(M128="prescription","Yes","No")</f>
        <v>Yes</v>
      </c>
      <c r="P128" s="6" t="s">
        <v>89</v>
      </c>
      <c r="Q128" s="6" t="s">
        <v>696</v>
      </c>
    </row>
    <row r="129" customFormat="false" ht="15" hidden="false" customHeight="false" outlineLevel="0" collapsed="false">
      <c r="A129" s="6" t="s">
        <v>697</v>
      </c>
      <c r="B129" s="6" t="s">
        <v>698</v>
      </c>
      <c r="C129" s="6" t="s">
        <v>394</v>
      </c>
      <c r="D129" s="6" t="s">
        <v>699</v>
      </c>
      <c r="E129" s="6" t="s">
        <v>95</v>
      </c>
      <c r="F129" s="6" t="s">
        <v>584</v>
      </c>
      <c r="G129" s="6" t="s">
        <v>592</v>
      </c>
      <c r="H129" s="7" t="n">
        <v>712</v>
      </c>
      <c r="I129" s="8" t="n">
        <v>10</v>
      </c>
      <c r="J129" s="9" t="n">
        <v>11.95</v>
      </c>
      <c r="K129" s="8" t="s">
        <v>35</v>
      </c>
      <c r="L129" s="10" t="s">
        <v>98</v>
      </c>
      <c r="M129" s="10" t="s">
        <v>409</v>
      </c>
      <c r="N129" s="10" t="s">
        <v>586</v>
      </c>
      <c r="O129" s="8" t="str">
        <f aca="false">IF(M129="prescription","Yes","No")</f>
        <v>Yes</v>
      </c>
      <c r="P129" s="6"/>
      <c r="Q129" s="6" t="s">
        <v>700</v>
      </c>
    </row>
    <row r="130" customFormat="false" ht="15" hidden="false" customHeight="false" outlineLevel="0" collapsed="false">
      <c r="A130" s="6" t="s">
        <v>701</v>
      </c>
      <c r="B130" s="6" t="s">
        <v>702</v>
      </c>
      <c r="C130" s="6" t="s">
        <v>703</v>
      </c>
      <c r="D130" s="6" t="s">
        <v>704</v>
      </c>
      <c r="E130" s="6" t="s">
        <v>407</v>
      </c>
      <c r="F130" s="6" t="s">
        <v>640</v>
      </c>
      <c r="G130" s="6" t="s">
        <v>705</v>
      </c>
      <c r="H130" s="7" t="n">
        <v>19</v>
      </c>
      <c r="I130" s="8" t="n">
        <v>1</v>
      </c>
      <c r="J130" s="9" t="n">
        <v>5.99</v>
      </c>
      <c r="K130" s="8" t="s">
        <v>35</v>
      </c>
      <c r="L130" s="10" t="s">
        <v>98</v>
      </c>
      <c r="M130" s="10" t="s">
        <v>409</v>
      </c>
      <c r="N130" s="10" t="s">
        <v>586</v>
      </c>
      <c r="O130" s="8" t="str">
        <f aca="false">IF(M130="prescription","Yes","No")</f>
        <v>Yes</v>
      </c>
      <c r="P130" s="6"/>
      <c r="Q130" s="6" t="s">
        <v>706</v>
      </c>
    </row>
    <row r="131" customFormat="false" ht="15" hidden="false" customHeight="false" outlineLevel="0" collapsed="false">
      <c r="A131" s="6" t="s">
        <v>707</v>
      </c>
      <c r="B131" s="6" t="s">
        <v>708</v>
      </c>
      <c r="C131" s="6" t="s">
        <v>709</v>
      </c>
      <c r="D131" s="6" t="s">
        <v>626</v>
      </c>
      <c r="E131" s="6" t="s">
        <v>344</v>
      </c>
      <c r="F131" s="6" t="s">
        <v>602</v>
      </c>
      <c r="G131" s="6" t="s">
        <v>615</v>
      </c>
      <c r="H131" s="7" t="n">
        <v>69</v>
      </c>
      <c r="I131" s="8" t="n">
        <v>1</v>
      </c>
      <c r="J131" s="9" t="n">
        <v>58.7</v>
      </c>
      <c r="K131" s="8" t="s">
        <v>35</v>
      </c>
      <c r="L131" s="10" t="s">
        <v>98</v>
      </c>
      <c r="M131" s="10" t="s">
        <v>409</v>
      </c>
      <c r="N131" s="10" t="s">
        <v>586</v>
      </c>
      <c r="O131" s="8" t="str">
        <f aca="false">IF(M131="prescription","Yes","No")</f>
        <v>Yes</v>
      </c>
      <c r="P131" s="6"/>
      <c r="Q131" s="6" t="s">
        <v>710</v>
      </c>
    </row>
    <row r="132" customFormat="false" ht="15" hidden="false" customHeight="false" outlineLevel="0" collapsed="false">
      <c r="A132" s="6" t="s">
        <v>711</v>
      </c>
      <c r="B132" s="6" t="s">
        <v>712</v>
      </c>
      <c r="C132" s="6" t="s">
        <v>713</v>
      </c>
      <c r="D132" s="6" t="s">
        <v>714</v>
      </c>
      <c r="E132" s="6" t="s">
        <v>407</v>
      </c>
      <c r="F132" s="6" t="s">
        <v>640</v>
      </c>
      <c r="G132" s="6" t="s">
        <v>715</v>
      </c>
      <c r="H132" s="7" t="n">
        <v>463</v>
      </c>
      <c r="I132" s="8" t="n">
        <v>1</v>
      </c>
      <c r="J132" s="9" t="n">
        <v>217</v>
      </c>
      <c r="K132" s="8" t="s">
        <v>35</v>
      </c>
      <c r="L132" s="10" t="s">
        <v>98</v>
      </c>
      <c r="M132" s="10" t="s">
        <v>409</v>
      </c>
      <c r="N132" s="10" t="s">
        <v>586</v>
      </c>
      <c r="O132" s="8" t="str">
        <f aca="false">IF(M132="prescription","Yes","No")</f>
        <v>Yes</v>
      </c>
      <c r="P132" s="6"/>
      <c r="Q132" s="6" t="s">
        <v>716</v>
      </c>
    </row>
    <row r="133" customFormat="false" ht="15" hidden="false" customHeight="false" outlineLevel="0" collapsed="false">
      <c r="A133" s="6" t="s">
        <v>717</v>
      </c>
      <c r="B133" s="6" t="s">
        <v>718</v>
      </c>
      <c r="C133" s="6" t="s">
        <v>677</v>
      </c>
      <c r="D133" s="6" t="s">
        <v>719</v>
      </c>
      <c r="E133" s="6" t="s">
        <v>344</v>
      </c>
      <c r="F133" s="6" t="s">
        <v>602</v>
      </c>
      <c r="G133" s="6" t="s">
        <v>597</v>
      </c>
      <c r="H133" s="7" t="n">
        <v>163</v>
      </c>
      <c r="I133" s="8" t="n">
        <v>1</v>
      </c>
      <c r="J133" s="9" t="n">
        <v>16.71</v>
      </c>
      <c r="K133" s="8" t="s">
        <v>35</v>
      </c>
      <c r="L133" s="10" t="s">
        <v>98</v>
      </c>
      <c r="M133" s="10" t="s">
        <v>409</v>
      </c>
      <c r="N133" s="10" t="s">
        <v>586</v>
      </c>
      <c r="O133" s="8" t="str">
        <f aca="false">IF(M133="prescription","Yes","No")</f>
        <v>Yes</v>
      </c>
      <c r="P133" s="6"/>
      <c r="Q133" s="6" t="s">
        <v>720</v>
      </c>
    </row>
    <row r="134" customFormat="false" ht="15" hidden="false" customHeight="false" outlineLevel="0" collapsed="false">
      <c r="A134" s="6" t="s">
        <v>721</v>
      </c>
      <c r="B134" s="6" t="s">
        <v>722</v>
      </c>
      <c r="C134" s="6" t="s">
        <v>723</v>
      </c>
      <c r="D134" s="6" t="s">
        <v>724</v>
      </c>
      <c r="E134" s="6" t="s">
        <v>95</v>
      </c>
      <c r="F134" s="6" t="s">
        <v>584</v>
      </c>
      <c r="G134" s="6" t="s">
        <v>725</v>
      </c>
      <c r="H134" s="7" t="n">
        <v>1228</v>
      </c>
      <c r="I134" s="8" t="n">
        <v>10</v>
      </c>
      <c r="J134" s="9" t="n">
        <v>7.98</v>
      </c>
      <c r="K134" s="8" t="s">
        <v>35</v>
      </c>
      <c r="L134" s="10" t="s">
        <v>98</v>
      </c>
      <c r="M134" s="10" t="s">
        <v>409</v>
      </c>
      <c r="N134" s="10" t="s">
        <v>586</v>
      </c>
      <c r="O134" s="8" t="str">
        <f aca="false">IF(M134="prescription","Yes","No")</f>
        <v>Yes</v>
      </c>
      <c r="P134" s="6"/>
      <c r="Q134" s="6" t="s">
        <v>726</v>
      </c>
    </row>
    <row r="135" customFormat="false" ht="15" hidden="false" customHeight="false" outlineLevel="0" collapsed="false">
      <c r="A135" s="6" t="s">
        <v>727</v>
      </c>
      <c r="B135" s="6" t="s">
        <v>728</v>
      </c>
      <c r="C135" s="6" t="s">
        <v>257</v>
      </c>
      <c r="D135" s="6" t="s">
        <v>729</v>
      </c>
      <c r="E135" s="6" t="s">
        <v>95</v>
      </c>
      <c r="F135" s="6" t="s">
        <v>584</v>
      </c>
      <c r="G135" s="6" t="s">
        <v>615</v>
      </c>
      <c r="H135" s="7" t="n">
        <v>110</v>
      </c>
      <c r="I135" s="8" t="n">
        <v>10</v>
      </c>
      <c r="J135" s="9" t="n">
        <v>121.39</v>
      </c>
      <c r="K135" s="8" t="s">
        <v>35</v>
      </c>
      <c r="L135" s="10" t="s">
        <v>98</v>
      </c>
      <c r="M135" s="10" t="s">
        <v>409</v>
      </c>
      <c r="N135" s="10" t="s">
        <v>586</v>
      </c>
      <c r="O135" s="8" t="str">
        <f aca="false">IF(M135="prescription","Yes","No")</f>
        <v>Yes</v>
      </c>
      <c r="P135" s="6"/>
      <c r="Q135" s="6" t="s">
        <v>730</v>
      </c>
    </row>
    <row r="136" customFormat="false" ht="15" hidden="false" customHeight="false" outlineLevel="0" collapsed="false">
      <c r="A136" s="6" t="s">
        <v>731</v>
      </c>
      <c r="B136" s="6" t="s">
        <v>732</v>
      </c>
      <c r="C136" s="6" t="s">
        <v>424</v>
      </c>
      <c r="D136" s="6" t="s">
        <v>733</v>
      </c>
      <c r="E136" s="6" t="s">
        <v>95</v>
      </c>
      <c r="F136" s="6" t="s">
        <v>584</v>
      </c>
      <c r="G136" s="6" t="s">
        <v>585</v>
      </c>
      <c r="H136" s="7" t="n">
        <v>366</v>
      </c>
      <c r="I136" s="8" t="n">
        <v>15</v>
      </c>
      <c r="J136" s="9" t="n">
        <v>52.95</v>
      </c>
      <c r="K136" s="8" t="s">
        <v>35</v>
      </c>
      <c r="L136" s="10" t="s">
        <v>98</v>
      </c>
      <c r="M136" s="10" t="s">
        <v>409</v>
      </c>
      <c r="N136" s="10" t="s">
        <v>586</v>
      </c>
      <c r="O136" s="8" t="str">
        <f aca="false">IF(M136="prescription","Yes","No")</f>
        <v>Yes</v>
      </c>
      <c r="P136" s="6"/>
      <c r="Q136" s="6" t="s">
        <v>734</v>
      </c>
    </row>
    <row r="137" customFormat="false" ht="15" hidden="false" customHeight="false" outlineLevel="0" collapsed="false">
      <c r="A137" s="6" t="s">
        <v>735</v>
      </c>
      <c r="B137" s="6" t="s">
        <v>736</v>
      </c>
      <c r="C137" s="6" t="s">
        <v>454</v>
      </c>
      <c r="D137" s="6" t="s">
        <v>737</v>
      </c>
      <c r="E137" s="6" t="s">
        <v>106</v>
      </c>
      <c r="F137" s="6" t="s">
        <v>584</v>
      </c>
      <c r="G137" s="6" t="s">
        <v>615</v>
      </c>
      <c r="H137" s="7" t="n">
        <v>3553</v>
      </c>
      <c r="I137" s="8" t="n">
        <v>10</v>
      </c>
      <c r="J137" s="9" t="n">
        <v>25.76</v>
      </c>
      <c r="K137" s="8" t="s">
        <v>35</v>
      </c>
      <c r="L137" s="10" t="s">
        <v>98</v>
      </c>
      <c r="M137" s="10" t="s">
        <v>409</v>
      </c>
      <c r="N137" s="10" t="s">
        <v>586</v>
      </c>
      <c r="O137" s="8" t="str">
        <f aca="false">IF(M137="prescription","Yes","No")</f>
        <v>Yes</v>
      </c>
      <c r="P137" s="6"/>
      <c r="Q137" s="6" t="s">
        <v>738</v>
      </c>
    </row>
    <row r="138" customFormat="false" ht="15" hidden="false" customHeight="false" outlineLevel="0" collapsed="false">
      <c r="A138" s="6" t="s">
        <v>739</v>
      </c>
      <c r="B138" s="6" t="s">
        <v>740</v>
      </c>
      <c r="C138" s="6" t="s">
        <v>494</v>
      </c>
      <c r="D138" s="6" t="s">
        <v>639</v>
      </c>
      <c r="E138" s="6" t="s">
        <v>407</v>
      </c>
      <c r="F138" s="6" t="s">
        <v>640</v>
      </c>
      <c r="G138" s="6" t="s">
        <v>597</v>
      </c>
      <c r="H138" s="7" t="n">
        <v>30</v>
      </c>
      <c r="I138" s="8" t="n">
        <v>1</v>
      </c>
      <c r="J138" s="9" t="n">
        <v>23.8</v>
      </c>
      <c r="K138" s="8" t="s">
        <v>35</v>
      </c>
      <c r="L138" s="10" t="s">
        <v>98</v>
      </c>
      <c r="M138" s="10" t="s">
        <v>409</v>
      </c>
      <c r="N138" s="10" t="s">
        <v>586</v>
      </c>
      <c r="O138" s="8" t="str">
        <f aca="false">IF(M138="prescription","Yes","No")</f>
        <v>Yes</v>
      </c>
      <c r="P138" s="6"/>
      <c r="Q138" s="6" t="s">
        <v>741</v>
      </c>
    </row>
    <row r="139" customFormat="false" ht="15" hidden="false" customHeight="false" outlineLevel="0" collapsed="false">
      <c r="A139" s="6" t="s">
        <v>742</v>
      </c>
      <c r="B139" s="6" t="s">
        <v>743</v>
      </c>
      <c r="C139" s="6" t="s">
        <v>744</v>
      </c>
      <c r="D139" s="6" t="s">
        <v>745</v>
      </c>
      <c r="E139" s="6" t="s">
        <v>407</v>
      </c>
      <c r="F139" s="6" t="s">
        <v>640</v>
      </c>
      <c r="G139" s="6" t="s">
        <v>715</v>
      </c>
      <c r="H139" s="7" t="n">
        <v>217</v>
      </c>
      <c r="I139" s="8" t="n">
        <v>1</v>
      </c>
      <c r="J139" s="9" t="n">
        <v>141.97</v>
      </c>
      <c r="K139" s="8" t="s">
        <v>35</v>
      </c>
      <c r="L139" s="10" t="s">
        <v>98</v>
      </c>
      <c r="M139" s="10" t="s">
        <v>409</v>
      </c>
      <c r="N139" s="10" t="s">
        <v>586</v>
      </c>
      <c r="O139" s="8" t="str">
        <f aca="false">IF(M139="prescription","Yes","No")</f>
        <v>Yes</v>
      </c>
      <c r="P139" s="6"/>
      <c r="Q139" s="6" t="s">
        <v>746</v>
      </c>
    </row>
    <row r="140" customFormat="false" ht="15" hidden="false" customHeight="false" outlineLevel="0" collapsed="false">
      <c r="A140" s="6" t="s">
        <v>747</v>
      </c>
      <c r="B140" s="6" t="s">
        <v>748</v>
      </c>
      <c r="C140" s="6" t="s">
        <v>110</v>
      </c>
      <c r="D140" s="6" t="s">
        <v>745</v>
      </c>
      <c r="E140" s="6" t="s">
        <v>407</v>
      </c>
      <c r="F140" s="6" t="s">
        <v>640</v>
      </c>
      <c r="G140" s="6" t="s">
        <v>715</v>
      </c>
      <c r="H140" s="7" t="n">
        <v>84</v>
      </c>
      <c r="I140" s="8" t="n">
        <v>1</v>
      </c>
      <c r="J140" s="9" t="n">
        <v>287.52</v>
      </c>
      <c r="K140" s="8" t="s">
        <v>35</v>
      </c>
      <c r="L140" s="10" t="s">
        <v>98</v>
      </c>
      <c r="M140" s="10" t="s">
        <v>409</v>
      </c>
      <c r="N140" s="10" t="s">
        <v>586</v>
      </c>
      <c r="O140" s="8" t="str">
        <f aca="false">IF(M140="prescription","Yes","No")</f>
        <v>Yes</v>
      </c>
      <c r="P140" s="6"/>
      <c r="Q140" s="6" t="s">
        <v>749</v>
      </c>
    </row>
    <row r="141" customFormat="false" ht="15" hidden="false" customHeight="false" outlineLevel="0" collapsed="false">
      <c r="A141" s="6" t="s">
        <v>750</v>
      </c>
      <c r="B141" s="6" t="s">
        <v>751</v>
      </c>
      <c r="C141" s="6" t="s">
        <v>703</v>
      </c>
      <c r="D141" s="6" t="s">
        <v>606</v>
      </c>
      <c r="E141" s="6" t="s">
        <v>106</v>
      </c>
      <c r="F141" s="6" t="s">
        <v>584</v>
      </c>
      <c r="G141" s="6" t="s">
        <v>597</v>
      </c>
      <c r="H141" s="7" t="n">
        <v>9127</v>
      </c>
      <c r="I141" s="8" t="n">
        <v>10</v>
      </c>
      <c r="J141" s="9" t="n">
        <v>4.99</v>
      </c>
      <c r="K141" s="8" t="s">
        <v>35</v>
      </c>
      <c r="L141" s="10" t="s">
        <v>98</v>
      </c>
      <c r="M141" s="10" t="s">
        <v>409</v>
      </c>
      <c r="N141" s="10" t="s">
        <v>586</v>
      </c>
      <c r="O141" s="8" t="str">
        <f aca="false">IF(M141="prescription","Yes","No")</f>
        <v>Yes</v>
      </c>
      <c r="P141" s="6"/>
      <c r="Q141" s="6" t="s">
        <v>752</v>
      </c>
    </row>
    <row r="142" customFormat="false" ht="15" hidden="false" customHeight="false" outlineLevel="0" collapsed="false">
      <c r="A142" s="6" t="s">
        <v>753</v>
      </c>
      <c r="B142" s="6" t="s">
        <v>754</v>
      </c>
      <c r="C142" s="6" t="s">
        <v>93</v>
      </c>
      <c r="D142" s="6" t="s">
        <v>719</v>
      </c>
      <c r="E142" s="6" t="s">
        <v>112</v>
      </c>
      <c r="F142" s="6" t="s">
        <v>602</v>
      </c>
      <c r="G142" s="6" t="s">
        <v>597</v>
      </c>
      <c r="H142" s="7" t="n">
        <v>176</v>
      </c>
      <c r="I142" s="8" t="n">
        <v>1</v>
      </c>
      <c r="J142" s="9" t="n">
        <v>0.76</v>
      </c>
      <c r="K142" s="8" t="s">
        <v>35</v>
      </c>
      <c r="L142" s="10" t="s">
        <v>98</v>
      </c>
      <c r="M142" s="10" t="s">
        <v>409</v>
      </c>
      <c r="N142" s="10" t="s">
        <v>586</v>
      </c>
      <c r="O142" s="8" t="str">
        <f aca="false">IF(M142="prescription","Yes","No")</f>
        <v>Yes</v>
      </c>
      <c r="P142" s="6"/>
      <c r="Q142" s="6" t="s">
        <v>755</v>
      </c>
    </row>
    <row r="143" customFormat="false" ht="15" hidden="false" customHeight="false" outlineLevel="0" collapsed="false">
      <c r="A143" s="6" t="s">
        <v>756</v>
      </c>
      <c r="B143" s="6" t="s">
        <v>757</v>
      </c>
      <c r="C143" s="6" t="s">
        <v>489</v>
      </c>
      <c r="D143" s="6" t="s">
        <v>758</v>
      </c>
      <c r="E143" s="6" t="s">
        <v>375</v>
      </c>
      <c r="F143" s="6" t="s">
        <v>659</v>
      </c>
      <c r="G143" s="6" t="s">
        <v>660</v>
      </c>
      <c r="H143" s="7" t="n">
        <v>149</v>
      </c>
      <c r="I143" s="8" t="n">
        <v>1</v>
      </c>
      <c r="J143" s="9" t="n">
        <v>43.58</v>
      </c>
      <c r="K143" s="8" t="s">
        <v>35</v>
      </c>
      <c r="L143" s="10" t="s">
        <v>98</v>
      </c>
      <c r="M143" s="10" t="s">
        <v>409</v>
      </c>
      <c r="N143" s="10" t="s">
        <v>586</v>
      </c>
      <c r="O143" s="8" t="str">
        <f aca="false">IF(M143="prescription","Yes","No")</f>
        <v>Yes</v>
      </c>
      <c r="P143" s="6"/>
      <c r="Q143" s="6" t="s">
        <v>759</v>
      </c>
    </row>
    <row r="144" customFormat="false" ht="15" hidden="false" customHeight="false" outlineLevel="0" collapsed="false">
      <c r="A144" s="6" t="s">
        <v>760</v>
      </c>
      <c r="B144" s="6" t="s">
        <v>761</v>
      </c>
      <c r="C144" s="6" t="s">
        <v>762</v>
      </c>
      <c r="D144" s="6" t="s">
        <v>644</v>
      </c>
      <c r="E144" s="6" t="s">
        <v>407</v>
      </c>
      <c r="F144" s="6" t="s">
        <v>640</v>
      </c>
      <c r="G144" s="6" t="s">
        <v>645</v>
      </c>
      <c r="H144" s="7" t="n">
        <v>51</v>
      </c>
      <c r="I144" s="8" t="n">
        <v>1</v>
      </c>
      <c r="J144" s="9" t="n">
        <v>63.91</v>
      </c>
      <c r="K144" s="8" t="s">
        <v>35</v>
      </c>
      <c r="L144" s="10" t="s">
        <v>98</v>
      </c>
      <c r="M144" s="10" t="s">
        <v>409</v>
      </c>
      <c r="N144" s="10" t="s">
        <v>586</v>
      </c>
      <c r="O144" s="8" t="str">
        <f aca="false">IF(M144="prescription","Yes","No")</f>
        <v>Yes</v>
      </c>
      <c r="P144" s="6"/>
      <c r="Q144" s="6" t="s">
        <v>763</v>
      </c>
    </row>
    <row r="145" customFormat="false" ht="15" hidden="false" customHeight="false" outlineLevel="0" collapsed="false">
      <c r="A145" s="6" t="s">
        <v>764</v>
      </c>
      <c r="B145" s="6" t="s">
        <v>765</v>
      </c>
      <c r="C145" s="6" t="s">
        <v>210</v>
      </c>
      <c r="D145" s="6" t="s">
        <v>766</v>
      </c>
      <c r="E145" s="6" t="s">
        <v>106</v>
      </c>
      <c r="F145" s="6" t="s">
        <v>584</v>
      </c>
      <c r="G145" s="6" t="s">
        <v>615</v>
      </c>
      <c r="H145" s="7" t="n">
        <v>4905</v>
      </c>
      <c r="I145" s="8" t="n">
        <v>10</v>
      </c>
      <c r="J145" s="9" t="n">
        <v>14.33</v>
      </c>
      <c r="K145" s="8" t="s">
        <v>35</v>
      </c>
      <c r="L145" s="10" t="s">
        <v>98</v>
      </c>
      <c r="M145" s="10" t="s">
        <v>409</v>
      </c>
      <c r="N145" s="10" t="s">
        <v>586</v>
      </c>
      <c r="O145" s="8" t="str">
        <f aca="false">IF(M145="prescription","Yes","No")</f>
        <v>Yes</v>
      </c>
      <c r="P145" s="6"/>
      <c r="Q145" s="6" t="s">
        <v>767</v>
      </c>
    </row>
    <row r="146" customFormat="false" ht="15" hidden="false" customHeight="false" outlineLevel="0" collapsed="false">
      <c r="A146" s="6" t="s">
        <v>768</v>
      </c>
      <c r="B146" s="6" t="s">
        <v>769</v>
      </c>
      <c r="C146" s="6" t="s">
        <v>262</v>
      </c>
      <c r="D146" s="6" t="s">
        <v>770</v>
      </c>
      <c r="E146" s="6" t="s">
        <v>301</v>
      </c>
      <c r="F146" s="6" t="s">
        <v>771</v>
      </c>
      <c r="G146" s="6" t="s">
        <v>772</v>
      </c>
      <c r="H146" s="7" t="n">
        <v>27</v>
      </c>
      <c r="I146" s="8" t="n">
        <v>1</v>
      </c>
      <c r="J146" s="9" t="n">
        <v>40.36</v>
      </c>
      <c r="K146" s="8" t="s">
        <v>35</v>
      </c>
      <c r="L146" s="10" t="s">
        <v>98</v>
      </c>
      <c r="M146" s="10" t="s">
        <v>409</v>
      </c>
      <c r="N146" s="10" t="s">
        <v>586</v>
      </c>
      <c r="O146" s="8" t="str">
        <f aca="false">IF(M146="prescription","Yes","No")</f>
        <v>Yes</v>
      </c>
      <c r="P146" s="6" t="s">
        <v>773</v>
      </c>
      <c r="Q146" s="6" t="s">
        <v>774</v>
      </c>
    </row>
    <row r="147" customFormat="false" ht="15" hidden="false" customHeight="false" outlineLevel="0" collapsed="false">
      <c r="A147" s="6" t="s">
        <v>775</v>
      </c>
      <c r="B147" s="6" t="s">
        <v>776</v>
      </c>
      <c r="C147" s="6" t="s">
        <v>777</v>
      </c>
      <c r="D147" s="6" t="s">
        <v>778</v>
      </c>
      <c r="E147" s="6" t="s">
        <v>344</v>
      </c>
      <c r="F147" s="6" t="s">
        <v>602</v>
      </c>
      <c r="G147" s="6" t="s">
        <v>597</v>
      </c>
      <c r="H147" s="7" t="n">
        <v>4</v>
      </c>
      <c r="I147" s="8" t="n">
        <v>1</v>
      </c>
      <c r="J147" s="9" t="n">
        <v>33.63</v>
      </c>
      <c r="K147" s="8" t="s">
        <v>35</v>
      </c>
      <c r="L147" s="10" t="s">
        <v>98</v>
      </c>
      <c r="M147" s="10" t="s">
        <v>409</v>
      </c>
      <c r="N147" s="10" t="s">
        <v>586</v>
      </c>
      <c r="O147" s="8" t="str">
        <f aca="false">IF(M147="prescription","Yes","No")</f>
        <v>Yes</v>
      </c>
      <c r="P147" s="6"/>
      <c r="Q147" s="6" t="s">
        <v>779</v>
      </c>
    </row>
    <row r="148" customFormat="false" ht="15" hidden="false" customHeight="false" outlineLevel="0" collapsed="false">
      <c r="A148" s="6" t="s">
        <v>780</v>
      </c>
      <c r="B148" s="6" t="s">
        <v>781</v>
      </c>
      <c r="C148" s="6" t="s">
        <v>782</v>
      </c>
      <c r="D148" s="6" t="s">
        <v>783</v>
      </c>
      <c r="E148" s="6" t="s">
        <v>95</v>
      </c>
      <c r="F148" s="6" t="s">
        <v>584</v>
      </c>
      <c r="G148" s="6" t="s">
        <v>597</v>
      </c>
      <c r="H148" s="7" t="n">
        <v>476</v>
      </c>
      <c r="I148" s="8" t="n">
        <v>10</v>
      </c>
      <c r="J148" s="9" t="n">
        <v>9.97</v>
      </c>
      <c r="K148" s="8" t="s">
        <v>35</v>
      </c>
      <c r="L148" s="10" t="s">
        <v>98</v>
      </c>
      <c r="M148" s="10" t="s">
        <v>409</v>
      </c>
      <c r="N148" s="10" t="s">
        <v>586</v>
      </c>
      <c r="O148" s="8" t="str">
        <f aca="false">IF(M148="prescription","Yes","No")</f>
        <v>Yes</v>
      </c>
      <c r="P148" s="6"/>
      <c r="Q148" s="6" t="s">
        <v>784</v>
      </c>
    </row>
    <row r="149" customFormat="false" ht="15" hidden="false" customHeight="false" outlineLevel="0" collapsed="false">
      <c r="A149" s="6" t="s">
        <v>785</v>
      </c>
      <c r="B149" s="6" t="s">
        <v>786</v>
      </c>
      <c r="C149" s="6" t="s">
        <v>787</v>
      </c>
      <c r="D149" s="6" t="s">
        <v>788</v>
      </c>
      <c r="E149" s="6" t="s">
        <v>407</v>
      </c>
      <c r="F149" s="6" t="s">
        <v>640</v>
      </c>
      <c r="G149" s="6" t="s">
        <v>597</v>
      </c>
      <c r="H149" s="7" t="n">
        <v>12</v>
      </c>
      <c r="I149" s="8" t="n">
        <v>1</v>
      </c>
      <c r="J149" s="9" t="n">
        <v>16.9</v>
      </c>
      <c r="K149" s="8" t="s">
        <v>35</v>
      </c>
      <c r="L149" s="10" t="s">
        <v>98</v>
      </c>
      <c r="M149" s="10" t="s">
        <v>409</v>
      </c>
      <c r="N149" s="10" t="s">
        <v>586</v>
      </c>
      <c r="O149" s="8" t="str">
        <f aca="false">IF(M149="prescription","Yes","No")</f>
        <v>Yes</v>
      </c>
      <c r="P149" s="6"/>
      <c r="Q149" s="6" t="s">
        <v>789</v>
      </c>
    </row>
    <row r="150" customFormat="false" ht="15" hidden="false" customHeight="false" outlineLevel="0" collapsed="false">
      <c r="A150" s="6" t="s">
        <v>790</v>
      </c>
      <c r="B150" s="6" t="s">
        <v>791</v>
      </c>
      <c r="C150" s="6" t="s">
        <v>478</v>
      </c>
      <c r="D150" s="6" t="s">
        <v>792</v>
      </c>
      <c r="E150" s="6" t="s">
        <v>95</v>
      </c>
      <c r="F150" s="6" t="s">
        <v>584</v>
      </c>
      <c r="G150" s="6" t="s">
        <v>793</v>
      </c>
      <c r="H150" s="7" t="n">
        <v>3494</v>
      </c>
      <c r="I150" s="8" t="n">
        <v>10</v>
      </c>
      <c r="J150" s="9" t="n">
        <v>7.98</v>
      </c>
      <c r="K150" s="8" t="s">
        <v>35</v>
      </c>
      <c r="L150" s="10" t="s">
        <v>98</v>
      </c>
      <c r="M150" s="10" t="s">
        <v>409</v>
      </c>
      <c r="N150" s="10" t="s">
        <v>586</v>
      </c>
      <c r="O150" s="8" t="str">
        <f aca="false">IF(M150="prescription","Yes","No")</f>
        <v>Yes</v>
      </c>
      <c r="P150" s="6"/>
      <c r="Q150" s="6" t="s">
        <v>794</v>
      </c>
    </row>
    <row r="151" customFormat="false" ht="15" hidden="false" customHeight="false" outlineLevel="0" collapsed="false">
      <c r="A151" s="6" t="s">
        <v>795</v>
      </c>
      <c r="B151" s="6" t="s">
        <v>796</v>
      </c>
      <c r="C151" s="6" t="s">
        <v>797</v>
      </c>
      <c r="D151" s="6" t="s">
        <v>798</v>
      </c>
      <c r="E151" s="6" t="s">
        <v>407</v>
      </c>
      <c r="F151" s="6" t="s">
        <v>640</v>
      </c>
      <c r="G151" s="6" t="s">
        <v>715</v>
      </c>
      <c r="H151" s="7" t="n">
        <v>20</v>
      </c>
      <c r="I151" s="8" t="n">
        <v>1</v>
      </c>
      <c r="J151" s="9" t="n">
        <v>253.18</v>
      </c>
      <c r="K151" s="8" t="s">
        <v>35</v>
      </c>
      <c r="L151" s="10" t="s">
        <v>98</v>
      </c>
      <c r="M151" s="10" t="s">
        <v>409</v>
      </c>
      <c r="N151" s="10" t="s">
        <v>586</v>
      </c>
      <c r="O151" s="8" t="str">
        <f aca="false">IF(M151="prescription","Yes","No")</f>
        <v>Yes</v>
      </c>
      <c r="P151" s="6"/>
      <c r="Q151" s="6" t="s">
        <v>799</v>
      </c>
    </row>
    <row r="152" customFormat="false" ht="15" hidden="false" customHeight="false" outlineLevel="0" collapsed="false">
      <c r="A152" s="6" t="s">
        <v>800</v>
      </c>
      <c r="B152" s="6" t="s">
        <v>801</v>
      </c>
      <c r="C152" s="6" t="s">
        <v>140</v>
      </c>
      <c r="D152" s="6" t="s">
        <v>802</v>
      </c>
      <c r="E152" s="6" t="s">
        <v>95</v>
      </c>
      <c r="F152" s="6" t="s">
        <v>584</v>
      </c>
      <c r="G152" s="6" t="s">
        <v>793</v>
      </c>
      <c r="H152" s="7" t="n">
        <v>1014</v>
      </c>
      <c r="I152" s="8" t="n">
        <v>10</v>
      </c>
      <c r="J152" s="9" t="n">
        <v>43.3</v>
      </c>
      <c r="K152" s="8" t="s">
        <v>35</v>
      </c>
      <c r="L152" s="10" t="s">
        <v>98</v>
      </c>
      <c r="M152" s="10" t="s">
        <v>409</v>
      </c>
      <c r="N152" s="10" t="s">
        <v>586</v>
      </c>
      <c r="O152" s="8" t="str">
        <f aca="false">IF(M152="prescription","Yes","No")</f>
        <v>Yes</v>
      </c>
      <c r="P152" s="6"/>
      <c r="Q152" s="6" t="s">
        <v>803</v>
      </c>
    </row>
    <row r="153" customFormat="false" ht="15" hidden="false" customHeight="false" outlineLevel="0" collapsed="false">
      <c r="A153" s="6" t="s">
        <v>804</v>
      </c>
      <c r="B153" s="6" t="s">
        <v>805</v>
      </c>
      <c r="C153" s="6" t="s">
        <v>104</v>
      </c>
      <c r="D153" s="6" t="s">
        <v>649</v>
      </c>
      <c r="E153" s="6" t="s">
        <v>407</v>
      </c>
      <c r="F153" s="6" t="s">
        <v>640</v>
      </c>
      <c r="G153" s="6" t="s">
        <v>615</v>
      </c>
      <c r="H153" s="7" t="n">
        <v>480</v>
      </c>
      <c r="I153" s="8" t="n">
        <v>1</v>
      </c>
      <c r="J153" s="9" t="n">
        <v>11.38</v>
      </c>
      <c r="K153" s="8" t="s">
        <v>35</v>
      </c>
      <c r="L153" s="10" t="s">
        <v>98</v>
      </c>
      <c r="M153" s="10" t="s">
        <v>409</v>
      </c>
      <c r="N153" s="10" t="s">
        <v>586</v>
      </c>
      <c r="O153" s="8" t="str">
        <f aca="false">IF(M153="prescription","Yes","No")</f>
        <v>Yes</v>
      </c>
      <c r="P153" s="6"/>
      <c r="Q153" s="6" t="s">
        <v>806</v>
      </c>
    </row>
    <row r="154" customFormat="false" ht="15" hidden="false" customHeight="false" outlineLevel="0" collapsed="false">
      <c r="A154" s="6" t="s">
        <v>807</v>
      </c>
      <c r="B154" s="6" t="s">
        <v>808</v>
      </c>
      <c r="C154" s="6" t="s">
        <v>797</v>
      </c>
      <c r="D154" s="6" t="s">
        <v>809</v>
      </c>
      <c r="E154" s="6" t="s">
        <v>407</v>
      </c>
      <c r="F154" s="6" t="s">
        <v>640</v>
      </c>
      <c r="G154" s="6" t="s">
        <v>615</v>
      </c>
      <c r="H154" s="7" t="n">
        <v>0</v>
      </c>
      <c r="I154" s="8" t="n">
        <v>1</v>
      </c>
      <c r="J154" s="9" t="n">
        <v>120.3</v>
      </c>
      <c r="K154" s="8" t="s">
        <v>87</v>
      </c>
      <c r="L154" s="10" t="s">
        <v>98</v>
      </c>
      <c r="M154" s="10" t="s">
        <v>409</v>
      </c>
      <c r="N154" s="10" t="s">
        <v>586</v>
      </c>
      <c r="O154" s="8" t="str">
        <f aca="false">IF(M154="prescription","Yes","No")</f>
        <v>Yes</v>
      </c>
      <c r="P154" s="6" t="s">
        <v>89</v>
      </c>
      <c r="Q154" s="6" t="s">
        <v>810</v>
      </c>
    </row>
    <row r="155" customFormat="false" ht="15" hidden="false" customHeight="false" outlineLevel="0" collapsed="false">
      <c r="A155" s="6" t="s">
        <v>811</v>
      </c>
      <c r="B155" s="6" t="s">
        <v>812</v>
      </c>
      <c r="C155" s="6" t="s">
        <v>498</v>
      </c>
      <c r="D155" s="6" t="s">
        <v>813</v>
      </c>
      <c r="E155" s="6" t="s">
        <v>95</v>
      </c>
      <c r="F155" s="6" t="s">
        <v>584</v>
      </c>
      <c r="G155" s="6" t="s">
        <v>585</v>
      </c>
      <c r="H155" s="7" t="n">
        <v>110</v>
      </c>
      <c r="I155" s="8" t="n">
        <v>10</v>
      </c>
      <c r="J155" s="9" t="n">
        <v>185.95</v>
      </c>
      <c r="K155" s="8" t="s">
        <v>35</v>
      </c>
      <c r="L155" s="10" t="s">
        <v>98</v>
      </c>
      <c r="M155" s="10" t="s">
        <v>409</v>
      </c>
      <c r="N155" s="10" t="s">
        <v>586</v>
      </c>
      <c r="O155" s="8" t="str">
        <f aca="false">IF(M155="prescription","Yes","No")</f>
        <v>Yes</v>
      </c>
      <c r="P155" s="6"/>
      <c r="Q155" s="6" t="s">
        <v>814</v>
      </c>
    </row>
    <row r="156" customFormat="false" ht="15" hidden="false" customHeight="false" outlineLevel="0" collapsed="false">
      <c r="A156" s="6" t="s">
        <v>815</v>
      </c>
      <c r="B156" s="6" t="s">
        <v>816</v>
      </c>
      <c r="C156" s="6" t="s">
        <v>489</v>
      </c>
      <c r="D156" s="6" t="s">
        <v>817</v>
      </c>
      <c r="E156" s="6" t="s">
        <v>95</v>
      </c>
      <c r="F156" s="6" t="s">
        <v>584</v>
      </c>
      <c r="G156" s="6" t="s">
        <v>793</v>
      </c>
      <c r="H156" s="7" t="n">
        <v>362</v>
      </c>
      <c r="I156" s="8" t="n">
        <v>4</v>
      </c>
      <c r="J156" s="9" t="n">
        <v>3.36</v>
      </c>
      <c r="K156" s="8" t="s">
        <v>35</v>
      </c>
      <c r="L156" s="10" t="s">
        <v>98</v>
      </c>
      <c r="M156" s="10" t="s">
        <v>409</v>
      </c>
      <c r="N156" s="10" t="s">
        <v>586</v>
      </c>
      <c r="O156" s="8" t="str">
        <f aca="false">IF(M156="prescription","Yes","No")</f>
        <v>Yes</v>
      </c>
      <c r="P156" s="6"/>
      <c r="Q156" s="6" t="s">
        <v>818</v>
      </c>
    </row>
    <row r="157" customFormat="false" ht="15" hidden="false" customHeight="false" outlineLevel="0" collapsed="false">
      <c r="A157" s="6" t="s">
        <v>819</v>
      </c>
      <c r="B157" s="6" t="s">
        <v>820</v>
      </c>
      <c r="C157" s="6" t="s">
        <v>382</v>
      </c>
      <c r="D157" s="6" t="s">
        <v>821</v>
      </c>
      <c r="E157" s="6" t="s">
        <v>344</v>
      </c>
      <c r="F157" s="6" t="s">
        <v>602</v>
      </c>
      <c r="G157" s="6" t="s">
        <v>585</v>
      </c>
      <c r="H157" s="7" t="n">
        <v>73</v>
      </c>
      <c r="I157" s="8" t="n">
        <v>1</v>
      </c>
      <c r="J157" s="9" t="n">
        <v>68.23</v>
      </c>
      <c r="K157" s="8" t="s">
        <v>35</v>
      </c>
      <c r="L157" s="10" t="s">
        <v>98</v>
      </c>
      <c r="M157" s="10" t="s">
        <v>409</v>
      </c>
      <c r="N157" s="10" t="s">
        <v>586</v>
      </c>
      <c r="O157" s="8" t="str">
        <f aca="false">IF(M157="prescription","Yes","No")</f>
        <v>Yes</v>
      </c>
      <c r="P157" s="6"/>
      <c r="Q157" s="6" t="s">
        <v>822</v>
      </c>
    </row>
    <row r="158" customFormat="false" ht="15" hidden="false" customHeight="false" outlineLevel="0" collapsed="false">
      <c r="A158" s="6" t="s">
        <v>823</v>
      </c>
      <c r="B158" s="6" t="s">
        <v>824</v>
      </c>
      <c r="C158" s="6" t="s">
        <v>797</v>
      </c>
      <c r="D158" s="6" t="s">
        <v>825</v>
      </c>
      <c r="E158" s="6" t="s">
        <v>407</v>
      </c>
      <c r="F158" s="6" t="s">
        <v>640</v>
      </c>
      <c r="G158" s="6" t="s">
        <v>826</v>
      </c>
      <c r="H158" s="7" t="n">
        <v>28</v>
      </c>
      <c r="I158" s="8" t="n">
        <v>1</v>
      </c>
      <c r="J158" s="9" t="n">
        <v>216.97</v>
      </c>
      <c r="K158" s="8" t="s">
        <v>35</v>
      </c>
      <c r="L158" s="10" t="s">
        <v>98</v>
      </c>
      <c r="M158" s="10" t="s">
        <v>409</v>
      </c>
      <c r="N158" s="10" t="s">
        <v>586</v>
      </c>
      <c r="O158" s="8" t="str">
        <f aca="false">IF(M158="prescription","Yes","No")</f>
        <v>Yes</v>
      </c>
      <c r="P158" s="6"/>
      <c r="Q158" s="6" t="s">
        <v>827</v>
      </c>
    </row>
    <row r="159" customFormat="false" ht="15" hidden="false" customHeight="false" outlineLevel="0" collapsed="false">
      <c r="A159" s="6" t="s">
        <v>828</v>
      </c>
      <c r="B159" s="6" t="s">
        <v>829</v>
      </c>
      <c r="C159" s="6" t="s">
        <v>830</v>
      </c>
      <c r="D159" s="6" t="s">
        <v>825</v>
      </c>
      <c r="E159" s="6" t="s">
        <v>407</v>
      </c>
      <c r="F159" s="6" t="s">
        <v>640</v>
      </c>
      <c r="G159" s="6" t="s">
        <v>826</v>
      </c>
      <c r="H159" s="7" t="n">
        <v>355</v>
      </c>
      <c r="I159" s="8" t="n">
        <v>1</v>
      </c>
      <c r="J159" s="9" t="n">
        <v>216.97</v>
      </c>
      <c r="K159" s="8" t="s">
        <v>35</v>
      </c>
      <c r="L159" s="10" t="s">
        <v>98</v>
      </c>
      <c r="M159" s="10" t="s">
        <v>409</v>
      </c>
      <c r="N159" s="10" t="s">
        <v>586</v>
      </c>
      <c r="O159" s="8" t="str">
        <f aca="false">IF(M159="prescription","Yes","No")</f>
        <v>Yes</v>
      </c>
      <c r="P159" s="6"/>
      <c r="Q159" s="6" t="s">
        <v>831</v>
      </c>
    </row>
    <row r="160" customFormat="false" ht="15" hidden="false" customHeight="false" outlineLevel="0" collapsed="false">
      <c r="A160" s="6" t="s">
        <v>832</v>
      </c>
      <c r="B160" s="6" t="s">
        <v>833</v>
      </c>
      <c r="C160" s="6" t="s">
        <v>834</v>
      </c>
      <c r="D160" s="6" t="s">
        <v>835</v>
      </c>
      <c r="E160" s="6" t="s">
        <v>836</v>
      </c>
      <c r="F160" s="6" t="s">
        <v>584</v>
      </c>
      <c r="G160" s="6" t="s">
        <v>837</v>
      </c>
      <c r="H160" s="7" t="n">
        <v>676</v>
      </c>
      <c r="I160" s="8" t="n">
        <v>10</v>
      </c>
      <c r="J160" s="9" t="n">
        <v>177.28</v>
      </c>
      <c r="K160" s="8" t="s">
        <v>35</v>
      </c>
      <c r="L160" s="10" t="s">
        <v>98</v>
      </c>
      <c r="M160" s="10" t="s">
        <v>409</v>
      </c>
      <c r="N160" s="10" t="s">
        <v>838</v>
      </c>
      <c r="O160" s="8" t="str">
        <f aca="false">IF(M160="prescription","Yes","No")</f>
        <v>Yes</v>
      </c>
      <c r="P160" s="6"/>
      <c r="Q160" s="6" t="s">
        <v>839</v>
      </c>
    </row>
    <row r="161" customFormat="false" ht="15" hidden="false" customHeight="false" outlineLevel="0" collapsed="false">
      <c r="A161" s="6" t="s">
        <v>840</v>
      </c>
      <c r="B161" s="6" t="s">
        <v>841</v>
      </c>
      <c r="C161" s="6" t="s">
        <v>168</v>
      </c>
      <c r="D161" s="6" t="s">
        <v>842</v>
      </c>
      <c r="E161" s="6" t="s">
        <v>843</v>
      </c>
      <c r="F161" s="6" t="s">
        <v>771</v>
      </c>
      <c r="G161" s="6" t="s">
        <v>844</v>
      </c>
      <c r="H161" s="7" t="n">
        <v>98</v>
      </c>
      <c r="I161" s="8" t="n">
        <v>6</v>
      </c>
      <c r="J161" s="9" t="n">
        <v>17.89</v>
      </c>
      <c r="K161" s="8" t="s">
        <v>35</v>
      </c>
      <c r="L161" s="10" t="s">
        <v>98</v>
      </c>
      <c r="M161" s="10" t="s">
        <v>409</v>
      </c>
      <c r="N161" s="10" t="s">
        <v>838</v>
      </c>
      <c r="O161" s="8" t="str">
        <f aca="false">IF(M161="prescription","Yes","No")</f>
        <v>Yes</v>
      </c>
      <c r="P161" s="6" t="s">
        <v>845</v>
      </c>
      <c r="Q161" s="6" t="s">
        <v>846</v>
      </c>
    </row>
    <row r="162" customFormat="false" ht="15" hidden="false" customHeight="false" outlineLevel="0" collapsed="false">
      <c r="A162" s="6" t="s">
        <v>847</v>
      </c>
      <c r="B162" s="6" t="s">
        <v>848</v>
      </c>
      <c r="C162" s="6" t="s">
        <v>168</v>
      </c>
      <c r="D162" s="6" t="s">
        <v>849</v>
      </c>
      <c r="E162" s="6" t="s">
        <v>375</v>
      </c>
      <c r="F162" s="6" t="s">
        <v>771</v>
      </c>
      <c r="G162" s="6" t="s">
        <v>844</v>
      </c>
      <c r="H162" s="7" t="n">
        <v>60</v>
      </c>
      <c r="I162" s="8" t="n">
        <v>6</v>
      </c>
      <c r="J162" s="9" t="n">
        <v>47.17</v>
      </c>
      <c r="K162" s="8" t="s">
        <v>35</v>
      </c>
      <c r="L162" s="10" t="s">
        <v>98</v>
      </c>
      <c r="M162" s="10" t="s">
        <v>409</v>
      </c>
      <c r="N162" s="10" t="s">
        <v>838</v>
      </c>
      <c r="O162" s="8" t="str">
        <f aca="false">IF(M162="prescription","Yes","No")</f>
        <v>Yes</v>
      </c>
      <c r="P162" s="6" t="s">
        <v>845</v>
      </c>
      <c r="Q162" s="6" t="s">
        <v>850</v>
      </c>
    </row>
    <row r="163" customFormat="false" ht="15" hidden="false" customHeight="false" outlineLevel="0" collapsed="false">
      <c r="A163" s="6" t="s">
        <v>851</v>
      </c>
      <c r="B163" s="6" t="s">
        <v>852</v>
      </c>
      <c r="C163" s="6" t="s">
        <v>853</v>
      </c>
      <c r="D163" s="6" t="s">
        <v>854</v>
      </c>
      <c r="E163" s="6" t="s">
        <v>375</v>
      </c>
      <c r="F163" s="6" t="s">
        <v>771</v>
      </c>
      <c r="G163" s="6" t="s">
        <v>844</v>
      </c>
      <c r="H163" s="7" t="n">
        <v>325</v>
      </c>
      <c r="I163" s="8" t="n">
        <v>1</v>
      </c>
      <c r="J163" s="9" t="n">
        <v>31.64</v>
      </c>
      <c r="K163" s="8" t="s">
        <v>35</v>
      </c>
      <c r="L163" s="10" t="s">
        <v>98</v>
      </c>
      <c r="M163" s="10" t="s">
        <v>409</v>
      </c>
      <c r="N163" s="10" t="s">
        <v>838</v>
      </c>
      <c r="O163" s="8" t="str">
        <f aca="false">IF(M163="prescription","Yes","No")</f>
        <v>Yes</v>
      </c>
      <c r="P163" s="6" t="s">
        <v>845</v>
      </c>
      <c r="Q163" s="6" t="s">
        <v>855</v>
      </c>
    </row>
    <row r="164" customFormat="false" ht="15" hidden="false" customHeight="false" outlineLevel="0" collapsed="false">
      <c r="A164" s="6" t="s">
        <v>856</v>
      </c>
      <c r="B164" s="6" t="s">
        <v>857</v>
      </c>
      <c r="C164" s="6" t="s">
        <v>93</v>
      </c>
      <c r="D164" s="6" t="s">
        <v>858</v>
      </c>
      <c r="E164" s="6" t="s">
        <v>95</v>
      </c>
      <c r="F164" s="6" t="s">
        <v>859</v>
      </c>
      <c r="G164" s="6" t="s">
        <v>860</v>
      </c>
      <c r="H164" s="7" t="n">
        <v>647</v>
      </c>
      <c r="I164" s="8" t="n">
        <v>10</v>
      </c>
      <c r="J164" s="9" t="n">
        <v>13.94</v>
      </c>
      <c r="K164" s="8" t="s">
        <v>35</v>
      </c>
      <c r="L164" s="10" t="s">
        <v>98</v>
      </c>
      <c r="M164" s="10" t="s">
        <v>409</v>
      </c>
      <c r="N164" s="10" t="s">
        <v>838</v>
      </c>
      <c r="O164" s="8" t="str">
        <f aca="false">IF(M164="prescription","Yes","No")</f>
        <v>Yes</v>
      </c>
      <c r="P164" s="6" t="s">
        <v>845</v>
      </c>
      <c r="Q164" s="6" t="s">
        <v>861</v>
      </c>
    </row>
    <row r="165" customFormat="false" ht="15" hidden="false" customHeight="false" outlineLevel="0" collapsed="false">
      <c r="A165" s="6" t="s">
        <v>862</v>
      </c>
      <c r="B165" s="6" t="s">
        <v>863</v>
      </c>
      <c r="C165" s="6" t="s">
        <v>93</v>
      </c>
      <c r="D165" s="6" t="s">
        <v>864</v>
      </c>
      <c r="E165" s="6" t="s">
        <v>344</v>
      </c>
      <c r="F165" s="6" t="s">
        <v>865</v>
      </c>
      <c r="G165" s="6" t="s">
        <v>860</v>
      </c>
      <c r="H165" s="7" t="n">
        <v>15</v>
      </c>
      <c r="I165" s="8" t="n">
        <v>1</v>
      </c>
      <c r="J165" s="9" t="n">
        <v>32.03</v>
      </c>
      <c r="K165" s="8" t="s">
        <v>35</v>
      </c>
      <c r="L165" s="10" t="s">
        <v>98</v>
      </c>
      <c r="M165" s="10" t="s">
        <v>409</v>
      </c>
      <c r="N165" s="10" t="s">
        <v>838</v>
      </c>
      <c r="O165" s="8" t="str">
        <f aca="false">IF(M165="prescription","Yes","No")</f>
        <v>Yes</v>
      </c>
      <c r="P165" s="6" t="s">
        <v>845</v>
      </c>
      <c r="Q165" s="6" t="s">
        <v>866</v>
      </c>
    </row>
    <row r="166" customFormat="false" ht="15" hidden="false" customHeight="false" outlineLevel="0" collapsed="false">
      <c r="A166" s="6" t="s">
        <v>867</v>
      </c>
      <c r="B166" s="6" t="s">
        <v>868</v>
      </c>
      <c r="C166" s="6" t="s">
        <v>290</v>
      </c>
      <c r="D166" s="6" t="s">
        <v>869</v>
      </c>
      <c r="E166" s="6" t="s">
        <v>407</v>
      </c>
      <c r="F166" s="6" t="s">
        <v>640</v>
      </c>
      <c r="G166" s="6" t="s">
        <v>870</v>
      </c>
      <c r="H166" s="7" t="n">
        <v>30</v>
      </c>
      <c r="I166" s="8" t="n">
        <v>1</v>
      </c>
      <c r="J166" s="9" t="n">
        <v>12.75</v>
      </c>
      <c r="K166" s="8" t="s">
        <v>35</v>
      </c>
      <c r="L166" s="10" t="s">
        <v>98</v>
      </c>
      <c r="M166" s="10" t="s">
        <v>409</v>
      </c>
      <c r="N166" s="10" t="s">
        <v>871</v>
      </c>
      <c r="O166" s="8" t="str">
        <f aca="false">IF(M166="prescription","Yes","No")</f>
        <v>Yes</v>
      </c>
      <c r="P166" s="6"/>
      <c r="Q166" s="6" t="s">
        <v>872</v>
      </c>
    </row>
    <row r="167" customFormat="false" ht="15" hidden="false" customHeight="false" outlineLevel="0" collapsed="false">
      <c r="A167" s="6" t="s">
        <v>873</v>
      </c>
      <c r="B167" s="6" t="s">
        <v>874</v>
      </c>
      <c r="C167" s="6" t="s">
        <v>281</v>
      </c>
      <c r="D167" s="6" t="s">
        <v>875</v>
      </c>
      <c r="E167" s="6" t="s">
        <v>344</v>
      </c>
      <c r="F167" s="6" t="s">
        <v>876</v>
      </c>
      <c r="G167" s="6" t="s">
        <v>877</v>
      </c>
      <c r="H167" s="7" t="n">
        <v>3</v>
      </c>
      <c r="I167" s="8" t="n">
        <v>1</v>
      </c>
      <c r="J167" s="9" t="n">
        <v>21.66</v>
      </c>
      <c r="K167" s="8" t="s">
        <v>35</v>
      </c>
      <c r="L167" s="10" t="s">
        <v>98</v>
      </c>
      <c r="M167" s="10" t="s">
        <v>409</v>
      </c>
      <c r="N167" s="10" t="s">
        <v>871</v>
      </c>
      <c r="O167" s="8" t="str">
        <f aca="false">IF(M167="prescription","Yes","No")</f>
        <v>Yes</v>
      </c>
      <c r="P167" s="6"/>
      <c r="Q167" s="6" t="s">
        <v>878</v>
      </c>
    </row>
    <row r="168" customFormat="false" ht="15" hidden="false" customHeight="false" outlineLevel="0" collapsed="false">
      <c r="A168" s="6" t="s">
        <v>879</v>
      </c>
      <c r="B168" s="6" t="s">
        <v>880</v>
      </c>
      <c r="C168" s="6" t="s">
        <v>881</v>
      </c>
      <c r="D168" s="6" t="s">
        <v>882</v>
      </c>
      <c r="E168" s="6" t="s">
        <v>95</v>
      </c>
      <c r="F168" s="6" t="s">
        <v>883</v>
      </c>
      <c r="G168" s="6" t="s">
        <v>884</v>
      </c>
      <c r="H168" s="7" t="n">
        <v>59</v>
      </c>
      <c r="I168" s="8" t="n">
        <v>3</v>
      </c>
      <c r="J168" s="9" t="n">
        <v>136.59</v>
      </c>
      <c r="K168" s="8" t="s">
        <v>35</v>
      </c>
      <c r="L168" s="10" t="s">
        <v>98</v>
      </c>
      <c r="M168" s="10" t="s">
        <v>409</v>
      </c>
      <c r="N168" s="10" t="s">
        <v>871</v>
      </c>
      <c r="O168" s="8" t="str">
        <f aca="false">IF(M168="prescription","Yes","No")</f>
        <v>Yes</v>
      </c>
      <c r="P168" s="6"/>
      <c r="Q168" s="6" t="s">
        <v>885</v>
      </c>
    </row>
    <row r="169" customFormat="false" ht="15" hidden="false" customHeight="false" outlineLevel="0" collapsed="false">
      <c r="A169" s="6" t="s">
        <v>886</v>
      </c>
      <c r="B169" s="6" t="s">
        <v>887</v>
      </c>
      <c r="C169" s="6" t="s">
        <v>394</v>
      </c>
      <c r="D169" s="6" t="s">
        <v>888</v>
      </c>
      <c r="E169" s="6" t="s">
        <v>95</v>
      </c>
      <c r="F169" s="6" t="s">
        <v>883</v>
      </c>
      <c r="G169" s="6" t="s">
        <v>884</v>
      </c>
      <c r="H169" s="7" t="n">
        <v>3096</v>
      </c>
      <c r="I169" s="8" t="n">
        <v>24</v>
      </c>
      <c r="J169" s="9" t="n">
        <v>19.07</v>
      </c>
      <c r="K169" s="8" t="s">
        <v>35</v>
      </c>
      <c r="L169" s="10" t="s">
        <v>98</v>
      </c>
      <c r="M169" s="10" t="s">
        <v>409</v>
      </c>
      <c r="N169" s="10" t="s">
        <v>871</v>
      </c>
      <c r="O169" s="8" t="str">
        <f aca="false">IF(M169="prescription","Yes","No")</f>
        <v>Yes</v>
      </c>
      <c r="P169" s="6"/>
      <c r="Q169" s="6" t="s">
        <v>889</v>
      </c>
    </row>
    <row r="170" customFormat="false" ht="15" hidden="false" customHeight="false" outlineLevel="0" collapsed="false">
      <c r="A170" s="6" t="s">
        <v>890</v>
      </c>
      <c r="B170" s="6" t="s">
        <v>891</v>
      </c>
      <c r="C170" s="6" t="s">
        <v>104</v>
      </c>
      <c r="D170" s="6" t="s">
        <v>892</v>
      </c>
      <c r="E170" s="6" t="s">
        <v>407</v>
      </c>
      <c r="F170" s="6" t="s">
        <v>893</v>
      </c>
      <c r="G170" s="6" t="s">
        <v>884</v>
      </c>
      <c r="H170" s="7" t="n">
        <v>73</v>
      </c>
      <c r="I170" s="8" t="n">
        <v>1</v>
      </c>
      <c r="J170" s="9" t="n">
        <v>37.66</v>
      </c>
      <c r="K170" s="8" t="s">
        <v>35</v>
      </c>
      <c r="L170" s="10" t="s">
        <v>98</v>
      </c>
      <c r="M170" s="10" t="s">
        <v>409</v>
      </c>
      <c r="N170" s="10" t="s">
        <v>871</v>
      </c>
      <c r="O170" s="8" t="str">
        <f aca="false">IF(M170="prescription","Yes","No")</f>
        <v>Yes</v>
      </c>
      <c r="P170" s="6"/>
      <c r="Q170" s="6" t="s">
        <v>894</v>
      </c>
    </row>
    <row r="171" customFormat="false" ht="15" hidden="false" customHeight="false" outlineLevel="0" collapsed="false">
      <c r="A171" s="6" t="s">
        <v>895</v>
      </c>
      <c r="B171" s="6" t="s">
        <v>896</v>
      </c>
      <c r="C171" s="6" t="s">
        <v>210</v>
      </c>
      <c r="D171" s="6" t="s">
        <v>897</v>
      </c>
      <c r="E171" s="6" t="s">
        <v>95</v>
      </c>
      <c r="F171" s="6" t="s">
        <v>883</v>
      </c>
      <c r="G171" s="6" t="s">
        <v>884</v>
      </c>
      <c r="H171" s="7" t="n">
        <v>819</v>
      </c>
      <c r="I171" s="8" t="n">
        <v>3</v>
      </c>
      <c r="J171" s="9" t="n">
        <v>10.47</v>
      </c>
      <c r="K171" s="8" t="s">
        <v>35</v>
      </c>
      <c r="L171" s="10" t="s">
        <v>98</v>
      </c>
      <c r="M171" s="10" t="s">
        <v>409</v>
      </c>
      <c r="N171" s="10" t="s">
        <v>871</v>
      </c>
      <c r="O171" s="8" t="str">
        <f aca="false">IF(M171="prescription","Yes","No")</f>
        <v>Yes</v>
      </c>
      <c r="P171" s="6"/>
      <c r="Q171" s="6" t="s">
        <v>898</v>
      </c>
    </row>
    <row r="172" customFormat="false" ht="15" hidden="false" customHeight="false" outlineLevel="0" collapsed="false">
      <c r="A172" s="6" t="s">
        <v>899</v>
      </c>
      <c r="B172" s="6" t="s">
        <v>900</v>
      </c>
      <c r="C172" s="6" t="s">
        <v>590</v>
      </c>
      <c r="D172" s="6" t="s">
        <v>901</v>
      </c>
      <c r="E172" s="6" t="s">
        <v>95</v>
      </c>
      <c r="F172" s="6" t="s">
        <v>883</v>
      </c>
      <c r="G172" s="6" t="s">
        <v>884</v>
      </c>
      <c r="H172" s="7" t="n">
        <v>30</v>
      </c>
      <c r="I172" s="8" t="n">
        <v>6</v>
      </c>
      <c r="J172" s="9" t="n">
        <v>54.68</v>
      </c>
      <c r="K172" s="8" t="s">
        <v>35</v>
      </c>
      <c r="L172" s="10" t="s">
        <v>98</v>
      </c>
      <c r="M172" s="10" t="s">
        <v>409</v>
      </c>
      <c r="N172" s="10" t="s">
        <v>871</v>
      </c>
      <c r="O172" s="8" t="str">
        <f aca="false">IF(M172="prescription","Yes","No")</f>
        <v>Yes</v>
      </c>
      <c r="P172" s="6"/>
      <c r="Q172" s="6" t="s">
        <v>902</v>
      </c>
    </row>
    <row r="173" customFormat="false" ht="15" hidden="false" customHeight="false" outlineLevel="0" collapsed="false">
      <c r="A173" s="6" t="s">
        <v>903</v>
      </c>
      <c r="B173" s="6" t="s">
        <v>904</v>
      </c>
      <c r="C173" s="6" t="s">
        <v>93</v>
      </c>
      <c r="D173" s="6" t="s">
        <v>905</v>
      </c>
      <c r="E173" s="6" t="s">
        <v>344</v>
      </c>
      <c r="F173" s="6" t="s">
        <v>602</v>
      </c>
      <c r="G173" s="6" t="s">
        <v>870</v>
      </c>
      <c r="H173" s="7" t="n">
        <v>23</v>
      </c>
      <c r="I173" s="8" t="n">
        <v>1</v>
      </c>
      <c r="J173" s="9" t="n">
        <v>13.94</v>
      </c>
      <c r="K173" s="8" t="s">
        <v>35</v>
      </c>
      <c r="L173" s="10" t="s">
        <v>98</v>
      </c>
      <c r="M173" s="10" t="s">
        <v>409</v>
      </c>
      <c r="N173" s="10" t="s">
        <v>871</v>
      </c>
      <c r="O173" s="8" t="str">
        <f aca="false">IF(M173="prescription","Yes","No")</f>
        <v>Yes</v>
      </c>
      <c r="P173" s="6"/>
      <c r="Q173" s="6" t="s">
        <v>906</v>
      </c>
    </row>
    <row r="174" customFormat="false" ht="15" hidden="false" customHeight="false" outlineLevel="0" collapsed="false">
      <c r="A174" s="6" t="s">
        <v>907</v>
      </c>
      <c r="B174" s="6" t="s">
        <v>908</v>
      </c>
      <c r="C174" s="6" t="s">
        <v>93</v>
      </c>
      <c r="D174" s="6" t="s">
        <v>909</v>
      </c>
      <c r="E174" s="6" t="s">
        <v>112</v>
      </c>
      <c r="F174" s="6" t="s">
        <v>602</v>
      </c>
      <c r="G174" s="6" t="s">
        <v>870</v>
      </c>
      <c r="H174" s="7" t="n">
        <v>35</v>
      </c>
      <c r="I174" s="8" t="n">
        <v>1</v>
      </c>
      <c r="J174" s="9" t="n">
        <v>13.94</v>
      </c>
      <c r="K174" s="8" t="s">
        <v>35</v>
      </c>
      <c r="L174" s="10" t="s">
        <v>98</v>
      </c>
      <c r="M174" s="10" t="s">
        <v>409</v>
      </c>
      <c r="N174" s="10" t="s">
        <v>871</v>
      </c>
      <c r="O174" s="8" t="str">
        <f aca="false">IF(M174="prescription","Yes","No")</f>
        <v>Yes</v>
      </c>
      <c r="P174" s="6"/>
      <c r="Q174" s="6" t="s">
        <v>910</v>
      </c>
    </row>
    <row r="175" customFormat="false" ht="15" hidden="false" customHeight="false" outlineLevel="0" collapsed="false">
      <c r="A175" s="6" t="s">
        <v>911</v>
      </c>
      <c r="B175" s="6" t="s">
        <v>912</v>
      </c>
      <c r="C175" s="6" t="s">
        <v>394</v>
      </c>
      <c r="D175" s="6" t="s">
        <v>913</v>
      </c>
      <c r="E175" s="6" t="s">
        <v>95</v>
      </c>
      <c r="F175" s="6" t="s">
        <v>584</v>
      </c>
      <c r="G175" s="6" t="s">
        <v>870</v>
      </c>
      <c r="H175" s="7" t="n">
        <v>19281</v>
      </c>
      <c r="I175" s="8" t="n">
        <v>10</v>
      </c>
      <c r="J175" s="9" t="n">
        <v>3</v>
      </c>
      <c r="K175" s="8" t="s">
        <v>35</v>
      </c>
      <c r="L175" s="10" t="s">
        <v>98</v>
      </c>
      <c r="M175" s="10" t="s">
        <v>409</v>
      </c>
      <c r="N175" s="10" t="s">
        <v>871</v>
      </c>
      <c r="O175" s="8" t="str">
        <f aca="false">IF(M175="prescription","Yes","No")</f>
        <v>Yes</v>
      </c>
      <c r="P175" s="6"/>
      <c r="Q175" s="6" t="s">
        <v>914</v>
      </c>
    </row>
    <row r="176" customFormat="false" ht="15" hidden="false" customHeight="false" outlineLevel="0" collapsed="false">
      <c r="A176" s="6" t="s">
        <v>915</v>
      </c>
      <c r="B176" s="6" t="s">
        <v>916</v>
      </c>
      <c r="C176" s="6" t="s">
        <v>917</v>
      </c>
      <c r="D176" s="6" t="s">
        <v>918</v>
      </c>
      <c r="E176" s="6" t="s">
        <v>95</v>
      </c>
      <c r="F176" s="6" t="s">
        <v>883</v>
      </c>
      <c r="G176" s="6" t="s">
        <v>877</v>
      </c>
      <c r="H176" s="7" t="n">
        <v>24</v>
      </c>
      <c r="I176" s="8" t="n">
        <v>1</v>
      </c>
      <c r="J176" s="9" t="n">
        <v>5.63</v>
      </c>
      <c r="K176" s="8" t="s">
        <v>35</v>
      </c>
      <c r="L176" s="10" t="s">
        <v>98</v>
      </c>
      <c r="M176" s="10" t="s">
        <v>409</v>
      </c>
      <c r="N176" s="10" t="s">
        <v>871</v>
      </c>
      <c r="O176" s="8" t="str">
        <f aca="false">IF(M176="prescription","Yes","No")</f>
        <v>Yes</v>
      </c>
      <c r="P176" s="6"/>
      <c r="Q176" s="6" t="s">
        <v>919</v>
      </c>
    </row>
    <row r="177" customFormat="false" ht="15" hidden="false" customHeight="false" outlineLevel="0" collapsed="false">
      <c r="A177" s="6" t="s">
        <v>920</v>
      </c>
      <c r="B177" s="6" t="s">
        <v>921</v>
      </c>
      <c r="C177" s="6" t="s">
        <v>922</v>
      </c>
      <c r="D177" s="6" t="s">
        <v>923</v>
      </c>
      <c r="E177" s="6" t="s">
        <v>95</v>
      </c>
      <c r="F177" s="6" t="s">
        <v>883</v>
      </c>
      <c r="G177" s="6" t="s">
        <v>877</v>
      </c>
      <c r="H177" s="7" t="n">
        <v>28</v>
      </c>
      <c r="I177" s="8" t="n">
        <v>10</v>
      </c>
      <c r="J177" s="9" t="n">
        <v>70.31</v>
      </c>
      <c r="K177" s="8" t="s">
        <v>35</v>
      </c>
      <c r="L177" s="10" t="s">
        <v>98</v>
      </c>
      <c r="M177" s="10" t="s">
        <v>409</v>
      </c>
      <c r="N177" s="10" t="s">
        <v>871</v>
      </c>
      <c r="O177" s="8" t="str">
        <f aca="false">IF(M177="prescription","Yes","No")</f>
        <v>Yes</v>
      </c>
      <c r="P177" s="6"/>
      <c r="Q177" s="6" t="s">
        <v>924</v>
      </c>
    </row>
    <row r="178" customFormat="false" ht="15" hidden="false" customHeight="false" outlineLevel="0" collapsed="false">
      <c r="A178" s="6" t="s">
        <v>925</v>
      </c>
      <c r="B178" s="6" t="s">
        <v>926</v>
      </c>
      <c r="C178" s="6" t="s">
        <v>93</v>
      </c>
      <c r="D178" s="6" t="s">
        <v>923</v>
      </c>
      <c r="E178" s="6" t="s">
        <v>95</v>
      </c>
      <c r="F178" s="6" t="s">
        <v>883</v>
      </c>
      <c r="G178" s="6" t="s">
        <v>877</v>
      </c>
      <c r="H178" s="7" t="n">
        <v>640</v>
      </c>
      <c r="I178" s="8" t="n">
        <v>4</v>
      </c>
      <c r="J178" s="9" t="n">
        <v>23.8</v>
      </c>
      <c r="K178" s="8" t="s">
        <v>35</v>
      </c>
      <c r="L178" s="10" t="s">
        <v>98</v>
      </c>
      <c r="M178" s="10" t="s">
        <v>409</v>
      </c>
      <c r="N178" s="10" t="s">
        <v>871</v>
      </c>
      <c r="O178" s="8" t="str">
        <f aca="false">IF(M178="prescription","Yes","No")</f>
        <v>Yes</v>
      </c>
      <c r="P178" s="6"/>
      <c r="Q178" s="6" t="s">
        <v>927</v>
      </c>
    </row>
    <row r="179" customFormat="false" ht="15" hidden="false" customHeight="false" outlineLevel="0" collapsed="false">
      <c r="A179" s="6" t="s">
        <v>928</v>
      </c>
      <c r="B179" s="6" t="s">
        <v>929</v>
      </c>
      <c r="C179" s="6" t="s">
        <v>498</v>
      </c>
      <c r="D179" s="6" t="s">
        <v>930</v>
      </c>
      <c r="E179" s="6" t="s">
        <v>95</v>
      </c>
      <c r="F179" s="6" t="s">
        <v>883</v>
      </c>
      <c r="G179" s="6" t="s">
        <v>870</v>
      </c>
      <c r="H179" s="7" t="n">
        <v>120</v>
      </c>
      <c r="I179" s="8" t="n">
        <v>2</v>
      </c>
      <c r="J179" s="9" t="n">
        <v>29.68</v>
      </c>
      <c r="K179" s="8" t="s">
        <v>35</v>
      </c>
      <c r="L179" s="10" t="s">
        <v>98</v>
      </c>
      <c r="M179" s="10" t="s">
        <v>409</v>
      </c>
      <c r="N179" s="10" t="s">
        <v>871</v>
      </c>
      <c r="O179" s="8" t="str">
        <f aca="false">IF(M179="prescription","Yes","No")</f>
        <v>Yes</v>
      </c>
      <c r="P179" s="6"/>
      <c r="Q179" s="6" t="s">
        <v>931</v>
      </c>
    </row>
    <row r="180" customFormat="false" ht="15" hidden="false" customHeight="false" outlineLevel="0" collapsed="false">
      <c r="A180" s="6" t="s">
        <v>932</v>
      </c>
      <c r="B180" s="6" t="s">
        <v>933</v>
      </c>
      <c r="C180" s="6" t="s">
        <v>934</v>
      </c>
      <c r="D180" s="6" t="s">
        <v>935</v>
      </c>
      <c r="E180" s="6" t="s">
        <v>95</v>
      </c>
      <c r="F180" s="6" t="s">
        <v>936</v>
      </c>
      <c r="G180" s="6" t="s">
        <v>937</v>
      </c>
      <c r="H180" s="7" t="n">
        <v>1700</v>
      </c>
      <c r="I180" s="8" t="n">
        <v>10</v>
      </c>
      <c r="J180" s="9" t="n">
        <v>14.93</v>
      </c>
      <c r="K180" s="8" t="s">
        <v>35</v>
      </c>
      <c r="L180" s="10" t="s">
        <v>98</v>
      </c>
      <c r="M180" s="10" t="s">
        <v>409</v>
      </c>
      <c r="N180" s="10" t="s">
        <v>938</v>
      </c>
      <c r="O180" s="8" t="str">
        <f aca="false">IF(M180="prescription","Yes","No")</f>
        <v>Yes</v>
      </c>
      <c r="P180" s="6"/>
      <c r="Q180" s="6" t="s">
        <v>939</v>
      </c>
    </row>
    <row r="181" customFormat="false" ht="15" hidden="false" customHeight="false" outlineLevel="0" collapsed="false">
      <c r="A181" s="6" t="s">
        <v>940</v>
      </c>
      <c r="B181" s="6" t="s">
        <v>941</v>
      </c>
      <c r="C181" s="6" t="s">
        <v>934</v>
      </c>
      <c r="D181" s="6" t="s">
        <v>942</v>
      </c>
      <c r="E181" s="6" t="s">
        <v>95</v>
      </c>
      <c r="F181" s="6" t="s">
        <v>936</v>
      </c>
      <c r="G181" s="6" t="s">
        <v>937</v>
      </c>
      <c r="H181" s="7" t="n">
        <v>755</v>
      </c>
      <c r="I181" s="8" t="n">
        <v>10</v>
      </c>
      <c r="J181" s="9" t="n">
        <v>33.59</v>
      </c>
      <c r="K181" s="8" t="s">
        <v>35</v>
      </c>
      <c r="L181" s="10" t="s">
        <v>98</v>
      </c>
      <c r="M181" s="10" t="s">
        <v>409</v>
      </c>
      <c r="N181" s="10" t="s">
        <v>938</v>
      </c>
      <c r="O181" s="8" t="str">
        <f aca="false">IF(M181="prescription","Yes","No")</f>
        <v>Yes</v>
      </c>
      <c r="P181" s="6"/>
      <c r="Q181" s="6" t="s">
        <v>943</v>
      </c>
    </row>
    <row r="182" customFormat="false" ht="15" hidden="false" customHeight="false" outlineLevel="0" collapsed="false">
      <c r="A182" s="6" t="s">
        <v>944</v>
      </c>
      <c r="B182" s="6" t="s">
        <v>945</v>
      </c>
      <c r="C182" s="6" t="s">
        <v>543</v>
      </c>
      <c r="D182" s="6" t="s">
        <v>946</v>
      </c>
      <c r="E182" s="6" t="s">
        <v>375</v>
      </c>
      <c r="F182" s="6" t="s">
        <v>947</v>
      </c>
      <c r="G182" s="6" t="s">
        <v>948</v>
      </c>
      <c r="H182" s="7" t="n">
        <v>45</v>
      </c>
      <c r="I182" s="8" t="n">
        <v>1</v>
      </c>
      <c r="J182" s="9" t="n">
        <v>17.89</v>
      </c>
      <c r="K182" s="8" t="s">
        <v>35</v>
      </c>
      <c r="L182" s="10" t="s">
        <v>98</v>
      </c>
      <c r="M182" s="10" t="s">
        <v>409</v>
      </c>
      <c r="N182" s="10" t="s">
        <v>938</v>
      </c>
      <c r="O182" s="8" t="str">
        <f aca="false">IF(M182="prescription","Yes","No")</f>
        <v>Yes</v>
      </c>
      <c r="P182" s="6"/>
      <c r="Q182" s="6" t="s">
        <v>949</v>
      </c>
    </row>
    <row r="183" customFormat="false" ht="15" hidden="false" customHeight="false" outlineLevel="0" collapsed="false">
      <c r="A183" s="6" t="s">
        <v>950</v>
      </c>
      <c r="B183" s="6" t="s">
        <v>951</v>
      </c>
      <c r="C183" s="6" t="s">
        <v>952</v>
      </c>
      <c r="D183" s="6" t="s">
        <v>953</v>
      </c>
      <c r="E183" s="6" t="s">
        <v>95</v>
      </c>
      <c r="F183" s="6" t="s">
        <v>936</v>
      </c>
      <c r="G183" s="6" t="s">
        <v>937</v>
      </c>
      <c r="H183" s="7" t="n">
        <v>2270</v>
      </c>
      <c r="I183" s="8" t="n">
        <v>3</v>
      </c>
      <c r="J183" s="9" t="n">
        <v>94.9</v>
      </c>
      <c r="K183" s="8" t="s">
        <v>35</v>
      </c>
      <c r="L183" s="10" t="s">
        <v>98</v>
      </c>
      <c r="M183" s="10" t="s">
        <v>409</v>
      </c>
      <c r="N183" s="10" t="s">
        <v>938</v>
      </c>
      <c r="O183" s="8" t="str">
        <f aca="false">IF(M183="prescription","Yes","No")</f>
        <v>Yes</v>
      </c>
      <c r="P183" s="6"/>
      <c r="Q183" s="6" t="s">
        <v>954</v>
      </c>
    </row>
    <row r="184" customFormat="false" ht="15" hidden="false" customHeight="false" outlineLevel="0" collapsed="false">
      <c r="A184" s="6" t="s">
        <v>955</v>
      </c>
      <c r="B184" s="6" t="s">
        <v>956</v>
      </c>
      <c r="C184" s="6" t="s">
        <v>957</v>
      </c>
      <c r="D184" s="6" t="s">
        <v>958</v>
      </c>
      <c r="E184" s="6" t="s">
        <v>95</v>
      </c>
      <c r="F184" s="6" t="s">
        <v>959</v>
      </c>
      <c r="G184" s="6" t="s">
        <v>960</v>
      </c>
      <c r="H184" s="7" t="n">
        <v>1200</v>
      </c>
      <c r="I184" s="8" t="n">
        <v>2</v>
      </c>
      <c r="J184" s="9" t="n">
        <v>204.3</v>
      </c>
      <c r="K184" s="8" t="s">
        <v>35</v>
      </c>
      <c r="L184" s="10" t="s">
        <v>98</v>
      </c>
      <c r="M184" s="10" t="s">
        <v>409</v>
      </c>
      <c r="N184" s="10" t="s">
        <v>938</v>
      </c>
      <c r="O184" s="8" t="str">
        <f aca="false">IF(M184="prescription","Yes","No")</f>
        <v>Yes</v>
      </c>
      <c r="P184" s="6"/>
      <c r="Q184" s="6" t="s">
        <v>961</v>
      </c>
    </row>
    <row r="185" customFormat="false" ht="15" hidden="false" customHeight="false" outlineLevel="0" collapsed="false">
      <c r="A185" s="6" t="s">
        <v>962</v>
      </c>
      <c r="B185" s="6" t="s">
        <v>963</v>
      </c>
      <c r="C185" s="6" t="s">
        <v>262</v>
      </c>
      <c r="D185" s="6" t="s">
        <v>964</v>
      </c>
      <c r="E185" s="6" t="s">
        <v>95</v>
      </c>
      <c r="F185" s="6" t="s">
        <v>965</v>
      </c>
      <c r="G185" s="6" t="s">
        <v>966</v>
      </c>
      <c r="H185" s="7" t="n">
        <v>10</v>
      </c>
      <c r="I185" s="8" t="n">
        <v>10</v>
      </c>
      <c r="J185" s="9" t="n">
        <v>3.6</v>
      </c>
      <c r="K185" s="8" t="s">
        <v>35</v>
      </c>
      <c r="L185" s="10" t="s">
        <v>98</v>
      </c>
      <c r="M185" s="10" t="s">
        <v>409</v>
      </c>
      <c r="N185" s="10" t="s">
        <v>967</v>
      </c>
      <c r="O185" s="8" t="str">
        <f aca="false">IF(M185="prescription","Yes","No")</f>
        <v>Yes</v>
      </c>
      <c r="P185" s="6"/>
      <c r="Q185" s="6" t="s">
        <v>968</v>
      </c>
    </row>
    <row r="186" customFormat="false" ht="15" hidden="false" customHeight="false" outlineLevel="0" collapsed="false">
      <c r="A186" s="6" t="s">
        <v>969</v>
      </c>
      <c r="B186" s="6" t="s">
        <v>970</v>
      </c>
      <c r="C186" s="6" t="s">
        <v>971</v>
      </c>
      <c r="D186" s="6" t="s">
        <v>964</v>
      </c>
      <c r="E186" s="6" t="s">
        <v>95</v>
      </c>
      <c r="F186" s="6" t="s">
        <v>965</v>
      </c>
      <c r="G186" s="6" t="s">
        <v>966</v>
      </c>
      <c r="H186" s="7" t="n">
        <v>10105</v>
      </c>
      <c r="I186" s="8" t="n">
        <v>10</v>
      </c>
      <c r="J186" s="9" t="n">
        <v>5.39</v>
      </c>
      <c r="K186" s="8" t="s">
        <v>35</v>
      </c>
      <c r="L186" s="10" t="s">
        <v>98</v>
      </c>
      <c r="M186" s="10" t="s">
        <v>409</v>
      </c>
      <c r="N186" s="10" t="s">
        <v>967</v>
      </c>
      <c r="O186" s="8" t="str">
        <f aca="false">IF(M186="prescription","Yes","No")</f>
        <v>Yes</v>
      </c>
      <c r="P186" s="6"/>
      <c r="Q186" s="6" t="s">
        <v>972</v>
      </c>
    </row>
    <row r="187" customFormat="false" ht="15" hidden="false" customHeight="false" outlineLevel="0" collapsed="false">
      <c r="A187" s="6" t="s">
        <v>973</v>
      </c>
      <c r="B187" s="6" t="s">
        <v>974</v>
      </c>
      <c r="C187" s="6" t="s">
        <v>478</v>
      </c>
      <c r="D187" s="6" t="s">
        <v>975</v>
      </c>
      <c r="E187" s="6" t="s">
        <v>95</v>
      </c>
      <c r="F187" s="6" t="s">
        <v>965</v>
      </c>
      <c r="G187" s="6" t="s">
        <v>976</v>
      </c>
      <c r="H187" s="7" t="n">
        <v>27175</v>
      </c>
      <c r="I187" s="8" t="n">
        <v>10</v>
      </c>
      <c r="J187" s="9" t="n">
        <v>4</v>
      </c>
      <c r="K187" s="8" t="s">
        <v>35</v>
      </c>
      <c r="L187" s="10" t="s">
        <v>98</v>
      </c>
      <c r="M187" s="10" t="s">
        <v>409</v>
      </c>
      <c r="N187" s="10" t="s">
        <v>967</v>
      </c>
      <c r="O187" s="8" t="str">
        <f aca="false">IF(M187="prescription","Yes","No")</f>
        <v>Yes</v>
      </c>
      <c r="P187" s="6"/>
      <c r="Q187" s="6" t="s">
        <v>977</v>
      </c>
    </row>
    <row r="188" customFormat="false" ht="15" hidden="false" customHeight="false" outlineLevel="0" collapsed="false">
      <c r="A188" s="6" t="s">
        <v>978</v>
      </c>
      <c r="B188" s="6" t="s">
        <v>979</v>
      </c>
      <c r="C188" s="6" t="s">
        <v>709</v>
      </c>
      <c r="D188" s="6" t="s">
        <v>980</v>
      </c>
      <c r="E188" s="6" t="s">
        <v>95</v>
      </c>
      <c r="F188" s="6" t="s">
        <v>965</v>
      </c>
      <c r="G188" s="6" t="s">
        <v>981</v>
      </c>
      <c r="H188" s="7" t="n">
        <v>13710</v>
      </c>
      <c r="I188" s="8" t="n">
        <v>30</v>
      </c>
      <c r="J188" s="9" t="n">
        <v>142.51</v>
      </c>
      <c r="K188" s="8" t="s">
        <v>35</v>
      </c>
      <c r="L188" s="10" t="s">
        <v>98</v>
      </c>
      <c r="M188" s="10" t="s">
        <v>409</v>
      </c>
      <c r="N188" s="10" t="s">
        <v>967</v>
      </c>
      <c r="O188" s="8" t="str">
        <f aca="false">IF(M188="prescription","Yes","No")</f>
        <v>Yes</v>
      </c>
      <c r="P188" s="6"/>
      <c r="Q188" s="6" t="s">
        <v>982</v>
      </c>
    </row>
    <row r="189" customFormat="false" ht="15" hidden="false" customHeight="false" outlineLevel="0" collapsed="false">
      <c r="A189" s="6" t="s">
        <v>983</v>
      </c>
      <c r="B189" s="6" t="s">
        <v>984</v>
      </c>
      <c r="C189" s="6" t="s">
        <v>709</v>
      </c>
      <c r="D189" s="6" t="s">
        <v>985</v>
      </c>
      <c r="E189" s="6" t="s">
        <v>95</v>
      </c>
      <c r="F189" s="6" t="s">
        <v>965</v>
      </c>
      <c r="G189" s="6" t="s">
        <v>986</v>
      </c>
      <c r="H189" s="7" t="n">
        <v>3140</v>
      </c>
      <c r="I189" s="8" t="n">
        <v>30</v>
      </c>
      <c r="J189" s="9" t="n">
        <v>159.57</v>
      </c>
      <c r="K189" s="8" t="s">
        <v>35</v>
      </c>
      <c r="L189" s="10" t="s">
        <v>98</v>
      </c>
      <c r="M189" s="10" t="s">
        <v>409</v>
      </c>
      <c r="N189" s="10" t="s">
        <v>967</v>
      </c>
      <c r="O189" s="8" t="str">
        <f aca="false">IF(M189="prescription","Yes","No")</f>
        <v>Yes</v>
      </c>
      <c r="P189" s="6"/>
      <c r="Q189" s="6" t="s">
        <v>987</v>
      </c>
    </row>
    <row r="190" customFormat="false" ht="15" hidden="false" customHeight="false" outlineLevel="0" collapsed="false">
      <c r="A190" s="6" t="s">
        <v>988</v>
      </c>
      <c r="B190" s="6" t="s">
        <v>989</v>
      </c>
      <c r="C190" s="6" t="s">
        <v>709</v>
      </c>
      <c r="D190" s="6" t="s">
        <v>990</v>
      </c>
      <c r="E190" s="6" t="s">
        <v>95</v>
      </c>
      <c r="F190" s="6" t="s">
        <v>965</v>
      </c>
      <c r="G190" s="6" t="s">
        <v>986</v>
      </c>
      <c r="H190" s="7" t="n">
        <v>9900</v>
      </c>
      <c r="I190" s="8" t="n">
        <v>30</v>
      </c>
      <c r="J190" s="9" t="n">
        <v>92.67</v>
      </c>
      <c r="K190" s="8" t="s">
        <v>35</v>
      </c>
      <c r="L190" s="10" t="s">
        <v>98</v>
      </c>
      <c r="M190" s="10" t="s">
        <v>409</v>
      </c>
      <c r="N190" s="10" t="s">
        <v>967</v>
      </c>
      <c r="O190" s="8" t="str">
        <f aca="false">IF(M190="prescription","Yes","No")</f>
        <v>Yes</v>
      </c>
      <c r="P190" s="6"/>
      <c r="Q190" s="6" t="s">
        <v>991</v>
      </c>
    </row>
    <row r="191" customFormat="false" ht="15" hidden="false" customHeight="false" outlineLevel="0" collapsed="false">
      <c r="A191" s="6" t="s">
        <v>992</v>
      </c>
      <c r="B191" s="6" t="s">
        <v>993</v>
      </c>
      <c r="C191" s="6" t="s">
        <v>994</v>
      </c>
      <c r="D191" s="6" t="s">
        <v>995</v>
      </c>
      <c r="E191" s="6" t="s">
        <v>95</v>
      </c>
      <c r="F191" s="6" t="s">
        <v>965</v>
      </c>
      <c r="G191" s="6" t="s">
        <v>996</v>
      </c>
      <c r="H191" s="7" t="n">
        <v>680</v>
      </c>
      <c r="I191" s="8" t="n">
        <v>30</v>
      </c>
      <c r="J191" s="9" t="n">
        <v>81.45</v>
      </c>
      <c r="K191" s="8" t="s">
        <v>35</v>
      </c>
      <c r="L191" s="10" t="s">
        <v>98</v>
      </c>
      <c r="M191" s="10" t="s">
        <v>409</v>
      </c>
      <c r="N191" s="10" t="s">
        <v>967</v>
      </c>
      <c r="O191" s="8" t="str">
        <f aca="false">IF(M191="prescription","Yes","No")</f>
        <v>Yes</v>
      </c>
      <c r="P191" s="6"/>
      <c r="Q191" s="6" t="s">
        <v>997</v>
      </c>
    </row>
    <row r="192" customFormat="false" ht="15" hidden="false" customHeight="false" outlineLevel="0" collapsed="false">
      <c r="A192" s="6" t="s">
        <v>998</v>
      </c>
      <c r="B192" s="6" t="s">
        <v>999</v>
      </c>
      <c r="C192" s="6" t="s">
        <v>1000</v>
      </c>
      <c r="D192" s="6" t="s">
        <v>1001</v>
      </c>
      <c r="E192" s="6" t="s">
        <v>95</v>
      </c>
      <c r="F192" s="6" t="s">
        <v>965</v>
      </c>
      <c r="G192" s="6" t="s">
        <v>1002</v>
      </c>
      <c r="H192" s="7" t="n">
        <v>19190</v>
      </c>
      <c r="I192" s="8" t="n">
        <v>28</v>
      </c>
      <c r="J192" s="9" t="n">
        <v>41.37</v>
      </c>
      <c r="K192" s="8" t="s">
        <v>35</v>
      </c>
      <c r="L192" s="10" t="s">
        <v>98</v>
      </c>
      <c r="M192" s="10" t="s">
        <v>409</v>
      </c>
      <c r="N192" s="10" t="s">
        <v>967</v>
      </c>
      <c r="O192" s="8" t="str">
        <f aca="false">IF(M192="prescription","Yes","No")</f>
        <v>Yes</v>
      </c>
      <c r="P192" s="6"/>
      <c r="Q192" s="6" t="s">
        <v>1003</v>
      </c>
    </row>
    <row r="193" customFormat="false" ht="15" hidden="false" customHeight="false" outlineLevel="0" collapsed="false">
      <c r="A193" s="6" t="s">
        <v>1004</v>
      </c>
      <c r="B193" s="6" t="s">
        <v>1005</v>
      </c>
      <c r="C193" s="6" t="s">
        <v>1000</v>
      </c>
      <c r="D193" s="6" t="s">
        <v>1006</v>
      </c>
      <c r="E193" s="6" t="s">
        <v>95</v>
      </c>
      <c r="F193" s="6" t="s">
        <v>965</v>
      </c>
      <c r="G193" s="6" t="s">
        <v>1002</v>
      </c>
      <c r="H193" s="7" t="n">
        <v>12242</v>
      </c>
      <c r="I193" s="8" t="n">
        <v>28</v>
      </c>
      <c r="J193" s="9" t="n">
        <v>47.32</v>
      </c>
      <c r="K193" s="8" t="s">
        <v>35</v>
      </c>
      <c r="L193" s="10" t="s">
        <v>98</v>
      </c>
      <c r="M193" s="10" t="s">
        <v>409</v>
      </c>
      <c r="N193" s="10" t="s">
        <v>967</v>
      </c>
      <c r="O193" s="8" t="str">
        <f aca="false">IF(M193="prescription","Yes","No")</f>
        <v>Yes</v>
      </c>
      <c r="P193" s="6"/>
      <c r="Q193" s="6" t="s">
        <v>1007</v>
      </c>
    </row>
    <row r="194" customFormat="false" ht="15" hidden="false" customHeight="false" outlineLevel="0" collapsed="false">
      <c r="A194" s="6" t="s">
        <v>1008</v>
      </c>
      <c r="B194" s="6" t="s">
        <v>1009</v>
      </c>
      <c r="C194" s="6" t="s">
        <v>549</v>
      </c>
      <c r="D194" s="6" t="s">
        <v>1010</v>
      </c>
      <c r="E194" s="6" t="s">
        <v>95</v>
      </c>
      <c r="F194" s="6" t="s">
        <v>965</v>
      </c>
      <c r="G194" s="6" t="s">
        <v>976</v>
      </c>
      <c r="H194" s="7" t="n">
        <v>1680</v>
      </c>
      <c r="I194" s="8" t="n">
        <v>30</v>
      </c>
      <c r="J194" s="9" t="n">
        <v>92.67</v>
      </c>
      <c r="K194" s="8" t="s">
        <v>35</v>
      </c>
      <c r="L194" s="10" t="s">
        <v>98</v>
      </c>
      <c r="M194" s="10" t="s">
        <v>409</v>
      </c>
      <c r="N194" s="10" t="s">
        <v>967</v>
      </c>
      <c r="O194" s="8" t="str">
        <f aca="false">IF(M194="prescription","Yes","No")</f>
        <v>Yes</v>
      </c>
      <c r="P194" s="6"/>
      <c r="Q194" s="6" t="s">
        <v>1011</v>
      </c>
    </row>
    <row r="195" customFormat="false" ht="15" hidden="false" customHeight="false" outlineLevel="0" collapsed="false">
      <c r="A195" s="6" t="s">
        <v>1012</v>
      </c>
      <c r="B195" s="6" t="s">
        <v>1013</v>
      </c>
      <c r="C195" s="6" t="s">
        <v>1014</v>
      </c>
      <c r="D195" s="6" t="s">
        <v>1015</v>
      </c>
      <c r="E195" s="6" t="s">
        <v>95</v>
      </c>
      <c r="F195" s="6" t="s">
        <v>965</v>
      </c>
      <c r="G195" s="6" t="s">
        <v>976</v>
      </c>
      <c r="H195" s="7" t="n">
        <v>330</v>
      </c>
      <c r="I195" s="8" t="n">
        <v>30</v>
      </c>
      <c r="J195" s="9" t="n">
        <v>72.96</v>
      </c>
      <c r="K195" s="8" t="s">
        <v>35</v>
      </c>
      <c r="L195" s="10" t="s">
        <v>98</v>
      </c>
      <c r="M195" s="10" t="s">
        <v>409</v>
      </c>
      <c r="N195" s="10" t="s">
        <v>967</v>
      </c>
      <c r="O195" s="8" t="str">
        <f aca="false">IF(M195="prescription","Yes","No")</f>
        <v>Yes</v>
      </c>
      <c r="P195" s="6"/>
      <c r="Q195" s="6" t="s">
        <v>1016</v>
      </c>
    </row>
    <row r="196" customFormat="false" ht="15" hidden="false" customHeight="false" outlineLevel="0" collapsed="false">
      <c r="A196" s="6" t="s">
        <v>1017</v>
      </c>
      <c r="B196" s="6" t="s">
        <v>1018</v>
      </c>
      <c r="C196" s="6" t="s">
        <v>1019</v>
      </c>
      <c r="D196" s="6" t="s">
        <v>1020</v>
      </c>
      <c r="E196" s="6" t="s">
        <v>95</v>
      </c>
      <c r="F196" s="6" t="s">
        <v>965</v>
      </c>
      <c r="G196" s="6" t="s">
        <v>976</v>
      </c>
      <c r="H196" s="7" t="n">
        <v>5030</v>
      </c>
      <c r="I196" s="8" t="n">
        <v>30</v>
      </c>
      <c r="J196" s="9" t="n">
        <v>35.54</v>
      </c>
      <c r="K196" s="8" t="s">
        <v>35</v>
      </c>
      <c r="L196" s="10" t="s">
        <v>98</v>
      </c>
      <c r="M196" s="10" t="s">
        <v>409</v>
      </c>
      <c r="N196" s="10" t="s">
        <v>967</v>
      </c>
      <c r="O196" s="8" t="str">
        <f aca="false">IF(M196="prescription","Yes","No")</f>
        <v>Yes</v>
      </c>
      <c r="P196" s="6"/>
      <c r="Q196" s="6" t="s">
        <v>1021</v>
      </c>
    </row>
    <row r="197" customFormat="false" ht="15" hidden="false" customHeight="false" outlineLevel="0" collapsed="false">
      <c r="A197" s="6" t="s">
        <v>1022</v>
      </c>
      <c r="B197" s="6" t="s">
        <v>1023</v>
      </c>
      <c r="C197" s="6" t="s">
        <v>1024</v>
      </c>
      <c r="D197" s="6" t="s">
        <v>1025</v>
      </c>
      <c r="E197" s="6" t="s">
        <v>95</v>
      </c>
      <c r="F197" s="6" t="s">
        <v>965</v>
      </c>
      <c r="G197" s="6" t="s">
        <v>966</v>
      </c>
      <c r="H197" s="7" t="n">
        <v>61326</v>
      </c>
      <c r="I197" s="8" t="n">
        <v>10</v>
      </c>
      <c r="J197" s="9" t="n">
        <v>4.79</v>
      </c>
      <c r="K197" s="8" t="s">
        <v>35</v>
      </c>
      <c r="L197" s="10" t="s">
        <v>98</v>
      </c>
      <c r="M197" s="10" t="s">
        <v>409</v>
      </c>
      <c r="N197" s="10" t="s">
        <v>967</v>
      </c>
      <c r="O197" s="8" t="str">
        <f aca="false">IF(M197="prescription","Yes","No")</f>
        <v>Yes</v>
      </c>
      <c r="P197" s="6"/>
      <c r="Q197" s="6" t="s">
        <v>1026</v>
      </c>
    </row>
    <row r="198" customFormat="false" ht="15" hidden="false" customHeight="false" outlineLevel="0" collapsed="false">
      <c r="A198" s="6" t="s">
        <v>1027</v>
      </c>
      <c r="B198" s="6" t="s">
        <v>1028</v>
      </c>
      <c r="C198" s="6" t="s">
        <v>1029</v>
      </c>
      <c r="D198" s="6" t="s">
        <v>1030</v>
      </c>
      <c r="E198" s="6" t="s">
        <v>95</v>
      </c>
      <c r="F198" s="6" t="s">
        <v>965</v>
      </c>
      <c r="G198" s="6" t="s">
        <v>976</v>
      </c>
      <c r="H198" s="7" t="n">
        <v>11516</v>
      </c>
      <c r="I198" s="8" t="n">
        <v>30</v>
      </c>
      <c r="J198" s="9" t="n">
        <v>104.35</v>
      </c>
      <c r="K198" s="8" t="s">
        <v>35</v>
      </c>
      <c r="L198" s="10" t="s">
        <v>98</v>
      </c>
      <c r="M198" s="10" t="s">
        <v>409</v>
      </c>
      <c r="N198" s="10" t="s">
        <v>967</v>
      </c>
      <c r="O198" s="8" t="str">
        <f aca="false">IF(M198="prescription","Yes","No")</f>
        <v>Yes</v>
      </c>
      <c r="P198" s="6"/>
      <c r="Q198" s="6" t="s">
        <v>1031</v>
      </c>
    </row>
    <row r="199" customFormat="false" ht="15" hidden="false" customHeight="false" outlineLevel="0" collapsed="false">
      <c r="A199" s="6" t="s">
        <v>1032</v>
      </c>
      <c r="B199" s="6" t="s">
        <v>1033</v>
      </c>
      <c r="C199" s="6" t="s">
        <v>125</v>
      </c>
      <c r="D199" s="6" t="s">
        <v>1034</v>
      </c>
      <c r="E199" s="6" t="s">
        <v>95</v>
      </c>
      <c r="F199" s="6" t="s">
        <v>965</v>
      </c>
      <c r="G199" s="6" t="s">
        <v>1035</v>
      </c>
      <c r="H199" s="7" t="n">
        <v>12360</v>
      </c>
      <c r="I199" s="8" t="n">
        <v>60</v>
      </c>
      <c r="J199" s="9" t="n">
        <v>81.45</v>
      </c>
      <c r="K199" s="8" t="s">
        <v>35</v>
      </c>
      <c r="L199" s="10" t="s">
        <v>98</v>
      </c>
      <c r="M199" s="10" t="s">
        <v>409</v>
      </c>
      <c r="N199" s="10" t="s">
        <v>967</v>
      </c>
      <c r="O199" s="8" t="str">
        <f aca="false">IF(M199="prescription","Yes","No")</f>
        <v>Yes</v>
      </c>
      <c r="P199" s="6"/>
      <c r="Q199" s="6" t="s">
        <v>1036</v>
      </c>
    </row>
    <row r="200" customFormat="false" ht="15" hidden="false" customHeight="false" outlineLevel="0" collapsed="false">
      <c r="A200" s="6" t="s">
        <v>1037</v>
      </c>
      <c r="B200" s="6" t="s">
        <v>1038</v>
      </c>
      <c r="C200" s="6" t="s">
        <v>1039</v>
      </c>
      <c r="D200" s="6" t="s">
        <v>1034</v>
      </c>
      <c r="E200" s="6" t="s">
        <v>95</v>
      </c>
      <c r="F200" s="6" t="s">
        <v>965</v>
      </c>
      <c r="G200" s="6" t="s">
        <v>1035</v>
      </c>
      <c r="H200" s="7" t="n">
        <v>25336</v>
      </c>
      <c r="I200" s="8" t="n">
        <v>10</v>
      </c>
      <c r="J200" s="9" t="n">
        <v>17.89</v>
      </c>
      <c r="K200" s="8" t="s">
        <v>35</v>
      </c>
      <c r="L200" s="10" t="s">
        <v>98</v>
      </c>
      <c r="M200" s="10" t="s">
        <v>409</v>
      </c>
      <c r="N200" s="10" t="s">
        <v>967</v>
      </c>
      <c r="O200" s="8" t="str">
        <f aca="false">IF(M200="prescription","Yes","No")</f>
        <v>Yes</v>
      </c>
      <c r="P200" s="6"/>
      <c r="Q200" s="6" t="s">
        <v>1040</v>
      </c>
    </row>
    <row r="201" customFormat="false" ht="15" hidden="false" customHeight="false" outlineLevel="0" collapsed="false">
      <c r="A201" s="6" t="s">
        <v>1041</v>
      </c>
      <c r="B201" s="6" t="s">
        <v>1042</v>
      </c>
      <c r="C201" s="6" t="s">
        <v>1029</v>
      </c>
      <c r="D201" s="6" t="s">
        <v>1043</v>
      </c>
      <c r="E201" s="6" t="s">
        <v>95</v>
      </c>
      <c r="F201" s="6" t="s">
        <v>965</v>
      </c>
      <c r="G201" s="6" t="s">
        <v>1044</v>
      </c>
      <c r="H201" s="7" t="n">
        <v>90</v>
      </c>
      <c r="I201" s="8" t="n">
        <v>30</v>
      </c>
      <c r="J201" s="9" t="n">
        <v>253.35</v>
      </c>
      <c r="K201" s="8" t="s">
        <v>35</v>
      </c>
      <c r="L201" s="10" t="s">
        <v>98</v>
      </c>
      <c r="M201" s="10" t="s">
        <v>409</v>
      </c>
      <c r="N201" s="10" t="s">
        <v>967</v>
      </c>
      <c r="O201" s="8" t="str">
        <f aca="false">IF(M201="prescription","Yes","No")</f>
        <v>Yes</v>
      </c>
      <c r="P201" s="6"/>
      <c r="Q201" s="6" t="s">
        <v>1045</v>
      </c>
    </row>
    <row r="202" customFormat="false" ht="15" hidden="false" customHeight="false" outlineLevel="0" collapsed="false">
      <c r="A202" s="6" t="s">
        <v>1046</v>
      </c>
      <c r="B202" s="6" t="s">
        <v>1047</v>
      </c>
      <c r="C202" s="6" t="s">
        <v>1029</v>
      </c>
      <c r="D202" s="6" t="s">
        <v>1048</v>
      </c>
      <c r="E202" s="6" t="s">
        <v>95</v>
      </c>
      <c r="F202" s="6" t="s">
        <v>965</v>
      </c>
      <c r="G202" s="6" t="s">
        <v>1044</v>
      </c>
      <c r="H202" s="7" t="n">
        <v>150</v>
      </c>
      <c r="I202" s="8" t="n">
        <v>30</v>
      </c>
      <c r="J202" s="9" t="n">
        <v>406.51</v>
      </c>
      <c r="K202" s="8" t="s">
        <v>35</v>
      </c>
      <c r="L202" s="10" t="s">
        <v>98</v>
      </c>
      <c r="M202" s="10" t="s">
        <v>409</v>
      </c>
      <c r="N202" s="10" t="s">
        <v>967</v>
      </c>
      <c r="O202" s="8" t="str">
        <f aca="false">IF(M202="prescription","Yes","No")</f>
        <v>Yes</v>
      </c>
      <c r="P202" s="6"/>
      <c r="Q202" s="6" t="s">
        <v>1049</v>
      </c>
    </row>
    <row r="203" customFormat="false" ht="15" hidden="false" customHeight="false" outlineLevel="0" collapsed="false">
      <c r="A203" s="6" t="s">
        <v>1050</v>
      </c>
      <c r="B203" s="6" t="s">
        <v>1051</v>
      </c>
      <c r="C203" s="6" t="s">
        <v>834</v>
      </c>
      <c r="D203" s="6" t="s">
        <v>1052</v>
      </c>
      <c r="E203" s="6" t="s">
        <v>106</v>
      </c>
      <c r="F203" s="6" t="s">
        <v>965</v>
      </c>
      <c r="G203" s="6" t="s">
        <v>1044</v>
      </c>
      <c r="H203" s="7" t="n">
        <v>24136</v>
      </c>
      <c r="I203" s="8" t="n">
        <v>10</v>
      </c>
      <c r="J203" s="9" t="n">
        <v>105.64</v>
      </c>
      <c r="K203" s="8" t="s">
        <v>35</v>
      </c>
      <c r="L203" s="10" t="s">
        <v>98</v>
      </c>
      <c r="M203" s="10" t="s">
        <v>409</v>
      </c>
      <c r="N203" s="10" t="s">
        <v>967</v>
      </c>
      <c r="O203" s="8" t="str">
        <f aca="false">IF(M203="prescription","Yes","No")</f>
        <v>Yes</v>
      </c>
      <c r="P203" s="6"/>
      <c r="Q203" s="6" t="s">
        <v>1053</v>
      </c>
    </row>
    <row r="204" customFormat="false" ht="15" hidden="false" customHeight="false" outlineLevel="0" collapsed="false">
      <c r="A204" s="6" t="s">
        <v>1054</v>
      </c>
      <c r="B204" s="6" t="s">
        <v>1055</v>
      </c>
      <c r="C204" s="6" t="s">
        <v>1056</v>
      </c>
      <c r="D204" s="6" t="s">
        <v>1057</v>
      </c>
      <c r="E204" s="6" t="s">
        <v>95</v>
      </c>
      <c r="F204" s="6" t="s">
        <v>965</v>
      </c>
      <c r="G204" s="6" t="s">
        <v>1058</v>
      </c>
      <c r="H204" s="7" t="n">
        <v>975</v>
      </c>
      <c r="I204" s="8" t="n">
        <v>28</v>
      </c>
      <c r="J204" s="9" t="n">
        <v>147.05</v>
      </c>
      <c r="K204" s="8" t="s">
        <v>35</v>
      </c>
      <c r="L204" s="10" t="s">
        <v>98</v>
      </c>
      <c r="M204" s="10" t="s">
        <v>409</v>
      </c>
      <c r="N204" s="10" t="s">
        <v>967</v>
      </c>
      <c r="O204" s="8" t="str">
        <f aca="false">IF(M204="prescription","Yes","No")</f>
        <v>Yes</v>
      </c>
      <c r="P204" s="6"/>
      <c r="Q204" s="6" t="s">
        <v>1059</v>
      </c>
    </row>
    <row r="205" customFormat="false" ht="15" hidden="false" customHeight="false" outlineLevel="0" collapsed="false">
      <c r="A205" s="6" t="s">
        <v>1060</v>
      </c>
      <c r="B205" s="6" t="s">
        <v>1061</v>
      </c>
      <c r="C205" s="6" t="s">
        <v>1062</v>
      </c>
      <c r="D205" s="6" t="s">
        <v>1063</v>
      </c>
      <c r="E205" s="6" t="s">
        <v>407</v>
      </c>
      <c r="F205" s="6" t="s">
        <v>1064</v>
      </c>
      <c r="G205" s="6" t="s">
        <v>1044</v>
      </c>
      <c r="H205" s="7" t="n">
        <v>381</v>
      </c>
      <c r="I205" s="8" t="n">
        <v>1</v>
      </c>
      <c r="J205" s="9" t="n">
        <v>159.75</v>
      </c>
      <c r="K205" s="8" t="s">
        <v>35</v>
      </c>
      <c r="L205" s="10" t="s">
        <v>98</v>
      </c>
      <c r="M205" s="10" t="s">
        <v>409</v>
      </c>
      <c r="N205" s="10" t="s">
        <v>967</v>
      </c>
      <c r="O205" s="8" t="str">
        <f aca="false">IF(M205="prescription","Yes","No")</f>
        <v>Yes</v>
      </c>
      <c r="P205" s="6"/>
      <c r="Q205" s="6" t="s">
        <v>1065</v>
      </c>
    </row>
    <row r="206" customFormat="false" ht="15" hidden="false" customHeight="false" outlineLevel="0" collapsed="false">
      <c r="A206" s="6" t="s">
        <v>1066</v>
      </c>
      <c r="B206" s="6" t="s">
        <v>1067</v>
      </c>
      <c r="C206" s="6" t="s">
        <v>478</v>
      </c>
      <c r="D206" s="6" t="s">
        <v>1068</v>
      </c>
      <c r="E206" s="6" t="s">
        <v>95</v>
      </c>
      <c r="F206" s="6" t="s">
        <v>965</v>
      </c>
      <c r="G206" s="6" t="s">
        <v>1069</v>
      </c>
      <c r="H206" s="7" t="n">
        <v>71346</v>
      </c>
      <c r="I206" s="8" t="n">
        <v>10</v>
      </c>
      <c r="J206" s="9" t="n">
        <v>8.98</v>
      </c>
      <c r="K206" s="8" t="s">
        <v>35</v>
      </c>
      <c r="L206" s="10" t="s">
        <v>98</v>
      </c>
      <c r="M206" s="10" t="s">
        <v>409</v>
      </c>
      <c r="N206" s="10" t="s">
        <v>967</v>
      </c>
      <c r="O206" s="8" t="str">
        <f aca="false">IF(M206="prescription","Yes","No")</f>
        <v>Yes</v>
      </c>
      <c r="P206" s="6"/>
      <c r="Q206" s="6" t="s">
        <v>1070</v>
      </c>
    </row>
    <row r="207" customFormat="false" ht="15" hidden="false" customHeight="false" outlineLevel="0" collapsed="false">
      <c r="A207" s="6" t="s">
        <v>1071</v>
      </c>
      <c r="B207" s="6" t="s">
        <v>1072</v>
      </c>
      <c r="C207" s="6" t="s">
        <v>478</v>
      </c>
      <c r="D207" s="6" t="s">
        <v>1073</v>
      </c>
      <c r="E207" s="6" t="s">
        <v>95</v>
      </c>
      <c r="F207" s="6" t="s">
        <v>965</v>
      </c>
      <c r="G207" s="6" t="s">
        <v>1069</v>
      </c>
      <c r="H207" s="7" t="n">
        <v>7910</v>
      </c>
      <c r="I207" s="8" t="n">
        <v>10</v>
      </c>
      <c r="J207" s="9" t="n">
        <v>9.97</v>
      </c>
      <c r="K207" s="8" t="s">
        <v>35</v>
      </c>
      <c r="L207" s="10" t="s">
        <v>98</v>
      </c>
      <c r="M207" s="10" t="s">
        <v>409</v>
      </c>
      <c r="N207" s="10" t="s">
        <v>967</v>
      </c>
      <c r="O207" s="8" t="str">
        <f aca="false">IF(M207="prescription","Yes","No")</f>
        <v>Yes</v>
      </c>
      <c r="P207" s="6"/>
      <c r="Q207" s="6" t="s">
        <v>1074</v>
      </c>
    </row>
    <row r="208" customFormat="false" ht="15" hidden="false" customHeight="false" outlineLevel="0" collapsed="false">
      <c r="A208" s="6" t="s">
        <v>1075</v>
      </c>
      <c r="B208" s="6" t="s">
        <v>1076</v>
      </c>
      <c r="C208" s="6" t="s">
        <v>478</v>
      </c>
      <c r="D208" s="6" t="s">
        <v>1077</v>
      </c>
      <c r="E208" s="6" t="s">
        <v>95</v>
      </c>
      <c r="F208" s="6" t="s">
        <v>965</v>
      </c>
      <c r="G208" s="6" t="s">
        <v>1069</v>
      </c>
      <c r="H208" s="7" t="n">
        <v>73500</v>
      </c>
      <c r="I208" s="8" t="n">
        <v>10</v>
      </c>
      <c r="J208" s="9" t="n">
        <v>4.79</v>
      </c>
      <c r="K208" s="8" t="s">
        <v>35</v>
      </c>
      <c r="L208" s="10" t="s">
        <v>98</v>
      </c>
      <c r="M208" s="10" t="s">
        <v>409</v>
      </c>
      <c r="N208" s="10" t="s">
        <v>967</v>
      </c>
      <c r="O208" s="8" t="str">
        <f aca="false">IF(M208="prescription","Yes","No")</f>
        <v>Yes</v>
      </c>
      <c r="P208" s="6"/>
      <c r="Q208" s="6" t="s">
        <v>1078</v>
      </c>
    </row>
    <row r="209" customFormat="false" ht="15" hidden="false" customHeight="false" outlineLevel="0" collapsed="false">
      <c r="A209" s="6" t="s">
        <v>1079</v>
      </c>
      <c r="B209" s="6" t="s">
        <v>1080</v>
      </c>
      <c r="C209" s="6" t="s">
        <v>669</v>
      </c>
      <c r="D209" s="6" t="s">
        <v>1081</v>
      </c>
      <c r="E209" s="6" t="s">
        <v>95</v>
      </c>
      <c r="F209" s="6" t="s">
        <v>965</v>
      </c>
      <c r="G209" s="6" t="s">
        <v>1082</v>
      </c>
      <c r="H209" s="7" t="n">
        <v>28989</v>
      </c>
      <c r="I209" s="8" t="n">
        <v>10</v>
      </c>
      <c r="J209" s="9" t="n">
        <v>2.8</v>
      </c>
      <c r="K209" s="8" t="s">
        <v>35</v>
      </c>
      <c r="L209" s="10" t="s">
        <v>98</v>
      </c>
      <c r="M209" s="10" t="s">
        <v>409</v>
      </c>
      <c r="N209" s="10" t="s">
        <v>967</v>
      </c>
      <c r="O209" s="8" t="str">
        <f aca="false">IF(M209="prescription","Yes","No")</f>
        <v>Yes</v>
      </c>
      <c r="P209" s="6"/>
      <c r="Q209" s="6" t="s">
        <v>1083</v>
      </c>
    </row>
    <row r="210" customFormat="false" ht="15" hidden="false" customHeight="false" outlineLevel="0" collapsed="false">
      <c r="A210" s="6" t="s">
        <v>1084</v>
      </c>
      <c r="B210" s="6" t="s">
        <v>1085</v>
      </c>
      <c r="C210" s="6" t="s">
        <v>1086</v>
      </c>
      <c r="D210" s="6" t="s">
        <v>1087</v>
      </c>
      <c r="E210" s="6" t="s">
        <v>95</v>
      </c>
      <c r="F210" s="6" t="s">
        <v>965</v>
      </c>
      <c r="G210" s="6" t="s">
        <v>1088</v>
      </c>
      <c r="H210" s="7" t="n">
        <v>1840</v>
      </c>
      <c r="I210" s="8" t="n">
        <v>10</v>
      </c>
      <c r="J210" s="9" t="n">
        <v>33</v>
      </c>
      <c r="K210" s="8" t="s">
        <v>35</v>
      </c>
      <c r="L210" s="10" t="s">
        <v>98</v>
      </c>
      <c r="M210" s="10" t="s">
        <v>409</v>
      </c>
      <c r="N210" s="10" t="s">
        <v>967</v>
      </c>
      <c r="O210" s="8" t="str">
        <f aca="false">IF(M210="prescription","Yes","No")</f>
        <v>Yes</v>
      </c>
      <c r="P210" s="6"/>
      <c r="Q210" s="6" t="s">
        <v>1089</v>
      </c>
    </row>
    <row r="211" customFormat="false" ht="15" hidden="false" customHeight="false" outlineLevel="0" collapsed="false">
      <c r="A211" s="6" t="s">
        <v>1090</v>
      </c>
      <c r="B211" s="6" t="s">
        <v>1091</v>
      </c>
      <c r="C211" s="6" t="s">
        <v>1092</v>
      </c>
      <c r="D211" s="6" t="s">
        <v>1093</v>
      </c>
      <c r="E211" s="6" t="s">
        <v>95</v>
      </c>
      <c r="F211" s="6" t="s">
        <v>965</v>
      </c>
      <c r="G211" s="6" t="s">
        <v>1088</v>
      </c>
      <c r="H211" s="7" t="n">
        <v>360</v>
      </c>
      <c r="I211" s="8" t="n">
        <v>84</v>
      </c>
      <c r="J211" s="9" t="n">
        <v>221.64</v>
      </c>
      <c r="K211" s="8" t="s">
        <v>35</v>
      </c>
      <c r="L211" s="10" t="s">
        <v>98</v>
      </c>
      <c r="M211" s="10" t="s">
        <v>409</v>
      </c>
      <c r="N211" s="10" t="s">
        <v>967</v>
      </c>
      <c r="O211" s="8" t="str">
        <f aca="false">IF(M211="prescription","Yes","No")</f>
        <v>Yes</v>
      </c>
      <c r="P211" s="6"/>
      <c r="Q211" s="6" t="s">
        <v>1094</v>
      </c>
    </row>
    <row r="212" customFormat="false" ht="15" hidden="false" customHeight="false" outlineLevel="0" collapsed="false">
      <c r="A212" s="6" t="s">
        <v>1095</v>
      </c>
      <c r="B212" s="6" t="s">
        <v>1096</v>
      </c>
      <c r="C212" s="6" t="s">
        <v>723</v>
      </c>
      <c r="D212" s="6" t="s">
        <v>964</v>
      </c>
      <c r="E212" s="6" t="s">
        <v>95</v>
      </c>
      <c r="F212" s="6" t="s">
        <v>965</v>
      </c>
      <c r="G212" s="6" t="s">
        <v>966</v>
      </c>
      <c r="H212" s="7" t="n">
        <v>39130</v>
      </c>
      <c r="I212" s="8" t="n">
        <v>10</v>
      </c>
      <c r="J212" s="9" t="n">
        <v>3.2</v>
      </c>
      <c r="K212" s="8" t="s">
        <v>35</v>
      </c>
      <c r="L212" s="10" t="s">
        <v>98</v>
      </c>
      <c r="M212" s="10" t="s">
        <v>409</v>
      </c>
      <c r="N212" s="10" t="s">
        <v>967</v>
      </c>
      <c r="O212" s="8" t="str">
        <f aca="false">IF(M212="prescription","Yes","No")</f>
        <v>Yes</v>
      </c>
      <c r="P212" s="6"/>
      <c r="Q212" s="6" t="s">
        <v>1097</v>
      </c>
    </row>
    <row r="213" customFormat="false" ht="15" hidden="false" customHeight="false" outlineLevel="0" collapsed="false">
      <c r="A213" s="6" t="s">
        <v>1098</v>
      </c>
      <c r="B213" s="6" t="s">
        <v>1099</v>
      </c>
      <c r="C213" s="6" t="s">
        <v>971</v>
      </c>
      <c r="D213" s="6" t="s">
        <v>1100</v>
      </c>
      <c r="E213" s="6" t="s">
        <v>95</v>
      </c>
      <c r="F213" s="6" t="s">
        <v>965</v>
      </c>
      <c r="G213" s="6" t="s">
        <v>1082</v>
      </c>
      <c r="H213" s="7" t="n">
        <v>8656</v>
      </c>
      <c r="I213" s="8" t="n">
        <v>10</v>
      </c>
      <c r="J213" s="9" t="n">
        <v>15.91</v>
      </c>
      <c r="K213" s="8" t="s">
        <v>35</v>
      </c>
      <c r="L213" s="10" t="s">
        <v>98</v>
      </c>
      <c r="M213" s="10" t="s">
        <v>409</v>
      </c>
      <c r="N213" s="10" t="s">
        <v>967</v>
      </c>
      <c r="O213" s="8" t="str">
        <f aca="false">IF(M213="prescription","Yes","No")</f>
        <v>Yes</v>
      </c>
      <c r="P213" s="6"/>
      <c r="Q213" s="6" t="s">
        <v>1101</v>
      </c>
    </row>
    <row r="214" customFormat="false" ht="15" hidden="false" customHeight="false" outlineLevel="0" collapsed="false">
      <c r="A214" s="6" t="s">
        <v>1102</v>
      </c>
      <c r="B214" s="6" t="s">
        <v>1103</v>
      </c>
      <c r="C214" s="6" t="s">
        <v>971</v>
      </c>
      <c r="D214" s="6" t="s">
        <v>1104</v>
      </c>
      <c r="E214" s="6" t="s">
        <v>95</v>
      </c>
      <c r="F214" s="6" t="s">
        <v>965</v>
      </c>
      <c r="G214" s="6" t="s">
        <v>1082</v>
      </c>
      <c r="H214" s="7" t="n">
        <v>3713</v>
      </c>
      <c r="I214" s="8" t="n">
        <v>10</v>
      </c>
      <c r="J214" s="9" t="n">
        <v>31.64</v>
      </c>
      <c r="K214" s="8" t="s">
        <v>35</v>
      </c>
      <c r="L214" s="10" t="s">
        <v>98</v>
      </c>
      <c r="M214" s="10" t="s">
        <v>409</v>
      </c>
      <c r="N214" s="10" t="s">
        <v>967</v>
      </c>
      <c r="O214" s="8" t="str">
        <f aca="false">IF(M214="prescription","Yes","No")</f>
        <v>Yes</v>
      </c>
      <c r="P214" s="6"/>
      <c r="Q214" s="6" t="s">
        <v>1105</v>
      </c>
    </row>
    <row r="215" customFormat="false" ht="15" hidden="false" customHeight="false" outlineLevel="0" collapsed="false">
      <c r="A215" s="6" t="s">
        <v>1106</v>
      </c>
      <c r="B215" s="6" t="s">
        <v>1107</v>
      </c>
      <c r="C215" s="6" t="s">
        <v>723</v>
      </c>
      <c r="D215" s="6" t="s">
        <v>1108</v>
      </c>
      <c r="E215" s="6" t="s">
        <v>95</v>
      </c>
      <c r="F215" s="6" t="s">
        <v>965</v>
      </c>
      <c r="G215" s="6" t="s">
        <v>1088</v>
      </c>
      <c r="H215" s="7" t="n">
        <v>17740</v>
      </c>
      <c r="I215" s="8" t="n">
        <v>10</v>
      </c>
      <c r="J215" s="9" t="n">
        <v>16.11</v>
      </c>
      <c r="K215" s="8" t="s">
        <v>35</v>
      </c>
      <c r="L215" s="10" t="s">
        <v>98</v>
      </c>
      <c r="M215" s="10" t="s">
        <v>409</v>
      </c>
      <c r="N215" s="10" t="s">
        <v>967</v>
      </c>
      <c r="O215" s="8" t="str">
        <f aca="false">IF(M215="prescription","Yes","No")</f>
        <v>Yes</v>
      </c>
      <c r="P215" s="6"/>
      <c r="Q215" s="6" t="s">
        <v>1109</v>
      </c>
    </row>
    <row r="216" customFormat="false" ht="15" hidden="false" customHeight="false" outlineLevel="0" collapsed="false">
      <c r="A216" s="6" t="s">
        <v>1110</v>
      </c>
      <c r="B216" s="6" t="s">
        <v>1111</v>
      </c>
      <c r="C216" s="6" t="s">
        <v>1112</v>
      </c>
      <c r="D216" s="6" t="s">
        <v>1113</v>
      </c>
      <c r="E216" s="6" t="s">
        <v>95</v>
      </c>
      <c r="F216" s="6" t="s">
        <v>965</v>
      </c>
      <c r="G216" s="6" t="s">
        <v>1069</v>
      </c>
      <c r="H216" s="7" t="n">
        <v>280</v>
      </c>
      <c r="I216" s="8" t="n">
        <v>28</v>
      </c>
      <c r="J216" s="9" t="n">
        <v>94.53</v>
      </c>
      <c r="K216" s="8" t="s">
        <v>35</v>
      </c>
      <c r="L216" s="10" t="s">
        <v>98</v>
      </c>
      <c r="M216" s="10" t="s">
        <v>409</v>
      </c>
      <c r="N216" s="10" t="s">
        <v>967</v>
      </c>
      <c r="O216" s="8" t="str">
        <f aca="false">IF(M216="prescription","Yes","No")</f>
        <v>Yes</v>
      </c>
      <c r="P216" s="6"/>
      <c r="Q216" s="6" t="s">
        <v>1114</v>
      </c>
    </row>
    <row r="217" customFormat="false" ht="15" hidden="false" customHeight="false" outlineLevel="0" collapsed="false">
      <c r="A217" s="6" t="s">
        <v>1115</v>
      </c>
      <c r="B217" s="6" t="s">
        <v>1116</v>
      </c>
      <c r="C217" s="6" t="s">
        <v>1117</v>
      </c>
      <c r="D217" s="6" t="s">
        <v>1063</v>
      </c>
      <c r="E217" s="6" t="s">
        <v>407</v>
      </c>
      <c r="F217" s="6" t="s">
        <v>1064</v>
      </c>
      <c r="G217" s="6" t="s">
        <v>1118</v>
      </c>
      <c r="H217" s="7" t="n">
        <v>1000</v>
      </c>
      <c r="I217" s="8" t="n">
        <v>1</v>
      </c>
      <c r="J217" s="9" t="n">
        <v>104.02</v>
      </c>
      <c r="K217" s="8" t="s">
        <v>35</v>
      </c>
      <c r="L217" s="10" t="s">
        <v>98</v>
      </c>
      <c r="M217" s="10" t="s">
        <v>409</v>
      </c>
      <c r="N217" s="10" t="s">
        <v>967</v>
      </c>
      <c r="O217" s="8" t="str">
        <f aca="false">IF(M217="prescription","Yes","No")</f>
        <v>Yes</v>
      </c>
      <c r="P217" s="6"/>
      <c r="Q217" s="6" t="s">
        <v>1119</v>
      </c>
    </row>
    <row r="218" customFormat="false" ht="15" hidden="false" customHeight="false" outlineLevel="0" collapsed="false">
      <c r="A218" s="6" t="s">
        <v>1120</v>
      </c>
      <c r="B218" s="6" t="s">
        <v>1121</v>
      </c>
      <c r="C218" s="6" t="s">
        <v>830</v>
      </c>
      <c r="D218" s="6" t="s">
        <v>1122</v>
      </c>
      <c r="E218" s="6" t="s">
        <v>95</v>
      </c>
      <c r="F218" s="6" t="s">
        <v>965</v>
      </c>
      <c r="G218" s="6" t="s">
        <v>976</v>
      </c>
      <c r="H218" s="7" t="n">
        <v>15000</v>
      </c>
      <c r="I218" s="8" t="n">
        <v>10</v>
      </c>
      <c r="J218" s="9" t="n">
        <v>68.04</v>
      </c>
      <c r="K218" s="8" t="s">
        <v>35</v>
      </c>
      <c r="L218" s="10" t="s">
        <v>98</v>
      </c>
      <c r="M218" s="10" t="s">
        <v>409</v>
      </c>
      <c r="N218" s="10" t="s">
        <v>967</v>
      </c>
      <c r="O218" s="8" t="str">
        <f aca="false">IF(M218="prescription","Yes","No")</f>
        <v>Yes</v>
      </c>
      <c r="P218" s="6"/>
      <c r="Q218" s="6" t="s">
        <v>1123</v>
      </c>
    </row>
    <row r="219" customFormat="false" ht="15" hidden="false" customHeight="false" outlineLevel="0" collapsed="false">
      <c r="A219" s="6" t="s">
        <v>1124</v>
      </c>
      <c r="B219" s="6" t="s">
        <v>1125</v>
      </c>
      <c r="C219" s="6" t="s">
        <v>1126</v>
      </c>
      <c r="D219" s="6" t="s">
        <v>1127</v>
      </c>
      <c r="E219" s="6" t="s">
        <v>407</v>
      </c>
      <c r="F219" s="6" t="s">
        <v>1064</v>
      </c>
      <c r="G219" s="6" t="s">
        <v>1128</v>
      </c>
      <c r="H219" s="7" t="n">
        <v>200</v>
      </c>
      <c r="I219" s="8" t="n">
        <v>1</v>
      </c>
      <c r="J219" s="9" t="n">
        <v>48.33</v>
      </c>
      <c r="K219" s="8" t="s">
        <v>35</v>
      </c>
      <c r="L219" s="10" t="s">
        <v>98</v>
      </c>
      <c r="M219" s="10" t="s">
        <v>409</v>
      </c>
      <c r="N219" s="10" t="s">
        <v>967</v>
      </c>
      <c r="O219" s="8" t="str">
        <f aca="false">IF(M219="prescription","Yes","No")</f>
        <v>Yes</v>
      </c>
      <c r="P219" s="6"/>
      <c r="Q219" s="6" t="s">
        <v>1129</v>
      </c>
    </row>
    <row r="220" customFormat="false" ht="15" hidden="false" customHeight="false" outlineLevel="0" collapsed="false">
      <c r="A220" s="6" t="s">
        <v>1130</v>
      </c>
      <c r="B220" s="6" t="s">
        <v>1131</v>
      </c>
      <c r="C220" s="6" t="s">
        <v>1132</v>
      </c>
      <c r="D220" s="6" t="s">
        <v>1063</v>
      </c>
      <c r="E220" s="6" t="s">
        <v>407</v>
      </c>
      <c r="F220" s="6" t="s">
        <v>1064</v>
      </c>
      <c r="G220" s="6" t="s">
        <v>1044</v>
      </c>
      <c r="H220" s="7" t="n">
        <v>468</v>
      </c>
      <c r="I220" s="8" t="n">
        <v>1</v>
      </c>
      <c r="J220" s="9" t="n">
        <v>169.04</v>
      </c>
      <c r="K220" s="8" t="s">
        <v>35</v>
      </c>
      <c r="L220" s="10" t="s">
        <v>98</v>
      </c>
      <c r="M220" s="10" t="s">
        <v>409</v>
      </c>
      <c r="N220" s="10" t="s">
        <v>967</v>
      </c>
      <c r="O220" s="8" t="str">
        <f aca="false">IF(M220="prescription","Yes","No")</f>
        <v>Yes</v>
      </c>
      <c r="P220" s="6"/>
      <c r="Q220" s="6" t="s">
        <v>1133</v>
      </c>
    </row>
    <row r="221" customFormat="false" ht="15" hidden="false" customHeight="false" outlineLevel="0" collapsed="false">
      <c r="A221" s="6" t="s">
        <v>1134</v>
      </c>
      <c r="B221" s="6" t="s">
        <v>1135</v>
      </c>
      <c r="C221" s="6" t="s">
        <v>1132</v>
      </c>
      <c r="D221" s="6" t="s">
        <v>1136</v>
      </c>
      <c r="E221" s="6" t="s">
        <v>407</v>
      </c>
      <c r="F221" s="6" t="s">
        <v>1064</v>
      </c>
      <c r="G221" s="6" t="s">
        <v>1118</v>
      </c>
      <c r="H221" s="7" t="n">
        <v>91</v>
      </c>
      <c r="I221" s="8" t="n">
        <v>1</v>
      </c>
      <c r="J221" s="9" t="n">
        <v>236.72</v>
      </c>
      <c r="K221" s="8" t="s">
        <v>35</v>
      </c>
      <c r="L221" s="10" t="s">
        <v>98</v>
      </c>
      <c r="M221" s="10" t="s">
        <v>409</v>
      </c>
      <c r="N221" s="10" t="s">
        <v>967</v>
      </c>
      <c r="O221" s="8" t="str">
        <f aca="false">IF(M221="prescription","Yes","No")</f>
        <v>Yes</v>
      </c>
      <c r="P221" s="6"/>
      <c r="Q221" s="6" t="s">
        <v>1137</v>
      </c>
    </row>
    <row r="222" customFormat="false" ht="15" hidden="false" customHeight="false" outlineLevel="0" collapsed="false">
      <c r="A222" s="6" t="s">
        <v>1138</v>
      </c>
      <c r="B222" s="6" t="s">
        <v>1139</v>
      </c>
      <c r="C222" s="6" t="s">
        <v>1140</v>
      </c>
      <c r="D222" s="6" t="s">
        <v>1141</v>
      </c>
      <c r="E222" s="6" t="s">
        <v>95</v>
      </c>
      <c r="F222" s="6" t="s">
        <v>965</v>
      </c>
      <c r="G222" s="6" t="s">
        <v>1035</v>
      </c>
      <c r="H222" s="7" t="n">
        <v>5283</v>
      </c>
      <c r="I222" s="8" t="n">
        <v>30</v>
      </c>
      <c r="J222" s="9" t="n">
        <v>41.37</v>
      </c>
      <c r="K222" s="8" t="s">
        <v>35</v>
      </c>
      <c r="L222" s="10" t="s">
        <v>98</v>
      </c>
      <c r="M222" s="10" t="s">
        <v>409</v>
      </c>
      <c r="N222" s="10" t="s">
        <v>967</v>
      </c>
      <c r="O222" s="8" t="str">
        <f aca="false">IF(M222="prescription","Yes","No")</f>
        <v>Yes</v>
      </c>
      <c r="P222" s="6"/>
      <c r="Q222" s="6" t="s">
        <v>1142</v>
      </c>
    </row>
    <row r="223" customFormat="false" ht="15" hidden="false" customHeight="false" outlineLevel="0" collapsed="false">
      <c r="A223" s="6" t="s">
        <v>1143</v>
      </c>
      <c r="B223" s="6" t="s">
        <v>1144</v>
      </c>
      <c r="C223" s="6" t="s">
        <v>543</v>
      </c>
      <c r="D223" s="6" t="s">
        <v>1145</v>
      </c>
      <c r="E223" s="6" t="s">
        <v>95</v>
      </c>
      <c r="F223" s="6" t="s">
        <v>965</v>
      </c>
      <c r="G223" s="6" t="s">
        <v>981</v>
      </c>
      <c r="H223" s="7" t="n">
        <v>7480</v>
      </c>
      <c r="I223" s="8" t="n">
        <v>10</v>
      </c>
      <c r="J223" s="9" t="n">
        <v>12.35</v>
      </c>
      <c r="K223" s="8" t="s">
        <v>35</v>
      </c>
      <c r="L223" s="10" t="s">
        <v>98</v>
      </c>
      <c r="M223" s="10" t="s">
        <v>409</v>
      </c>
      <c r="N223" s="10" t="s">
        <v>967</v>
      </c>
      <c r="O223" s="8" t="str">
        <f aca="false">IF(M223="prescription","Yes","No")</f>
        <v>Yes</v>
      </c>
      <c r="P223" s="6"/>
      <c r="Q223" s="6" t="s">
        <v>1146</v>
      </c>
    </row>
    <row r="224" customFormat="false" ht="15" hidden="false" customHeight="false" outlineLevel="0" collapsed="false">
      <c r="A224" s="6" t="s">
        <v>1147</v>
      </c>
      <c r="B224" s="6" t="s">
        <v>1148</v>
      </c>
      <c r="C224" s="6" t="s">
        <v>478</v>
      </c>
      <c r="D224" s="6" t="s">
        <v>1149</v>
      </c>
      <c r="E224" s="6" t="s">
        <v>95</v>
      </c>
      <c r="F224" s="6" t="s">
        <v>965</v>
      </c>
      <c r="G224" s="6" t="s">
        <v>986</v>
      </c>
      <c r="H224" s="7" t="n">
        <v>3440</v>
      </c>
      <c r="I224" s="8" t="n">
        <v>10</v>
      </c>
      <c r="J224" s="9" t="n">
        <v>12.75</v>
      </c>
      <c r="K224" s="8" t="s">
        <v>35</v>
      </c>
      <c r="L224" s="10" t="s">
        <v>98</v>
      </c>
      <c r="M224" s="10" t="s">
        <v>409</v>
      </c>
      <c r="N224" s="10" t="s">
        <v>967</v>
      </c>
      <c r="O224" s="8" t="str">
        <f aca="false">IF(M224="prescription","Yes","No")</f>
        <v>Yes</v>
      </c>
      <c r="P224" s="6"/>
      <c r="Q224" s="6" t="s">
        <v>1150</v>
      </c>
    </row>
    <row r="225" customFormat="false" ht="15" hidden="false" customHeight="false" outlineLevel="0" collapsed="false">
      <c r="A225" s="6" t="s">
        <v>1151</v>
      </c>
      <c r="B225" s="6" t="s">
        <v>1152</v>
      </c>
      <c r="C225" s="6" t="s">
        <v>1153</v>
      </c>
      <c r="D225" s="6" t="s">
        <v>1154</v>
      </c>
      <c r="E225" s="6" t="s">
        <v>95</v>
      </c>
      <c r="F225" s="6" t="s">
        <v>965</v>
      </c>
      <c r="G225" s="6" t="s">
        <v>996</v>
      </c>
      <c r="H225" s="7" t="n">
        <v>2840</v>
      </c>
      <c r="I225" s="8" t="n">
        <v>10</v>
      </c>
      <c r="J225" s="9" t="n">
        <v>19.07</v>
      </c>
      <c r="K225" s="8" t="s">
        <v>35</v>
      </c>
      <c r="L225" s="10" t="s">
        <v>98</v>
      </c>
      <c r="M225" s="10" t="s">
        <v>409</v>
      </c>
      <c r="N225" s="10" t="s">
        <v>967</v>
      </c>
      <c r="O225" s="8" t="str">
        <f aca="false">IF(M225="prescription","Yes","No")</f>
        <v>Yes</v>
      </c>
      <c r="P225" s="6"/>
      <c r="Q225" s="6" t="s">
        <v>1155</v>
      </c>
    </row>
    <row r="226" customFormat="false" ht="15" hidden="false" customHeight="false" outlineLevel="0" collapsed="false">
      <c r="A226" s="6" t="s">
        <v>1156</v>
      </c>
      <c r="B226" s="6" t="s">
        <v>1157</v>
      </c>
      <c r="C226" s="6" t="s">
        <v>1132</v>
      </c>
      <c r="D226" s="6" t="s">
        <v>1158</v>
      </c>
      <c r="E226" s="6" t="s">
        <v>95</v>
      </c>
      <c r="F226" s="6" t="s">
        <v>965</v>
      </c>
      <c r="G226" s="6" t="s">
        <v>976</v>
      </c>
      <c r="H226" s="7" t="n">
        <v>1250</v>
      </c>
      <c r="I226" s="8" t="n">
        <v>10</v>
      </c>
      <c r="J226" s="9" t="n">
        <v>68.23</v>
      </c>
      <c r="K226" s="8" t="s">
        <v>35</v>
      </c>
      <c r="L226" s="10" t="s">
        <v>98</v>
      </c>
      <c r="M226" s="10" t="s">
        <v>409</v>
      </c>
      <c r="N226" s="10" t="s">
        <v>967</v>
      </c>
      <c r="O226" s="8" t="str">
        <f aca="false">IF(M226="prescription","Yes","No")</f>
        <v>Yes</v>
      </c>
      <c r="P226" s="6"/>
      <c r="Q226" s="6" t="s">
        <v>1159</v>
      </c>
    </row>
    <row r="227" customFormat="false" ht="15" hidden="false" customHeight="false" outlineLevel="0" collapsed="false">
      <c r="A227" s="6" t="s">
        <v>1160</v>
      </c>
      <c r="B227" s="6" t="s">
        <v>1161</v>
      </c>
      <c r="C227" s="6" t="s">
        <v>1132</v>
      </c>
      <c r="D227" s="6" t="s">
        <v>1162</v>
      </c>
      <c r="E227" s="6" t="s">
        <v>95</v>
      </c>
      <c r="F227" s="6" t="s">
        <v>965</v>
      </c>
      <c r="G227" s="6" t="s">
        <v>976</v>
      </c>
      <c r="H227" s="7" t="n">
        <v>1400</v>
      </c>
      <c r="I227" s="8" t="n">
        <v>10</v>
      </c>
      <c r="J227" s="9" t="n">
        <v>87.07</v>
      </c>
      <c r="K227" s="8" t="s">
        <v>35</v>
      </c>
      <c r="L227" s="10" t="s">
        <v>98</v>
      </c>
      <c r="M227" s="10" t="s">
        <v>409</v>
      </c>
      <c r="N227" s="10" t="s">
        <v>967</v>
      </c>
      <c r="O227" s="8" t="str">
        <f aca="false">IF(M227="prescription","Yes","No")</f>
        <v>Yes</v>
      </c>
      <c r="P227" s="6"/>
      <c r="Q227" s="6" t="s">
        <v>1163</v>
      </c>
    </row>
    <row r="228" customFormat="false" ht="15" hidden="false" customHeight="false" outlineLevel="0" collapsed="false">
      <c r="A228" s="6" t="s">
        <v>1164</v>
      </c>
      <c r="B228" s="6" t="s">
        <v>1165</v>
      </c>
      <c r="C228" s="6" t="s">
        <v>1166</v>
      </c>
      <c r="D228" s="6" t="s">
        <v>1167</v>
      </c>
      <c r="E228" s="6" t="s">
        <v>407</v>
      </c>
      <c r="F228" s="6" t="s">
        <v>1064</v>
      </c>
      <c r="G228" s="6" t="s">
        <v>1118</v>
      </c>
      <c r="H228" s="7" t="n">
        <v>4</v>
      </c>
      <c r="I228" s="8" t="n">
        <v>2</v>
      </c>
      <c r="J228" s="9" t="n">
        <v>20475</v>
      </c>
      <c r="K228" s="8" t="s">
        <v>35</v>
      </c>
      <c r="L228" s="10" t="s">
        <v>98</v>
      </c>
      <c r="M228" s="10" t="s">
        <v>409</v>
      </c>
      <c r="N228" s="10" t="s">
        <v>967</v>
      </c>
      <c r="O228" s="8" t="str">
        <f aca="false">IF(M228="prescription","Yes","No")</f>
        <v>Yes</v>
      </c>
      <c r="P228" s="6"/>
      <c r="Q228" s="6" t="s">
        <v>1168</v>
      </c>
    </row>
    <row r="229" customFormat="false" ht="15" hidden="false" customHeight="false" outlineLevel="0" collapsed="false">
      <c r="A229" s="6" t="s">
        <v>1169</v>
      </c>
      <c r="B229" s="6" t="s">
        <v>1170</v>
      </c>
      <c r="C229" s="6" t="s">
        <v>709</v>
      </c>
      <c r="D229" s="6" t="s">
        <v>1171</v>
      </c>
      <c r="E229" s="6" t="s">
        <v>95</v>
      </c>
      <c r="F229" s="6" t="s">
        <v>965</v>
      </c>
      <c r="G229" s="6" t="s">
        <v>976</v>
      </c>
      <c r="H229" s="7" t="n">
        <v>18270</v>
      </c>
      <c r="I229" s="8" t="n">
        <v>30</v>
      </c>
      <c r="J229" s="9" t="n">
        <v>172.22</v>
      </c>
      <c r="K229" s="8" t="s">
        <v>35</v>
      </c>
      <c r="L229" s="10" t="s">
        <v>98</v>
      </c>
      <c r="M229" s="10" t="s">
        <v>409</v>
      </c>
      <c r="N229" s="10" t="s">
        <v>967</v>
      </c>
      <c r="O229" s="8" t="str">
        <f aca="false">IF(M229="prescription","Yes","No")</f>
        <v>Yes</v>
      </c>
      <c r="P229" s="6"/>
      <c r="Q229" s="6" t="s">
        <v>1172</v>
      </c>
    </row>
    <row r="230" customFormat="false" ht="15" hidden="false" customHeight="false" outlineLevel="0" collapsed="false">
      <c r="A230" s="6" t="s">
        <v>1173</v>
      </c>
      <c r="B230" s="6" t="s">
        <v>1174</v>
      </c>
      <c r="C230" s="6" t="s">
        <v>140</v>
      </c>
      <c r="D230" s="6" t="s">
        <v>1175</v>
      </c>
      <c r="E230" s="6" t="s">
        <v>95</v>
      </c>
      <c r="F230" s="6" t="s">
        <v>965</v>
      </c>
      <c r="G230" s="6" t="s">
        <v>976</v>
      </c>
      <c r="H230" s="7" t="n">
        <v>450</v>
      </c>
      <c r="I230" s="8" t="n">
        <v>30</v>
      </c>
      <c r="J230" s="9" t="n">
        <v>272.81</v>
      </c>
      <c r="K230" s="8" t="s">
        <v>35</v>
      </c>
      <c r="L230" s="10" t="s">
        <v>98</v>
      </c>
      <c r="M230" s="10" t="s">
        <v>409</v>
      </c>
      <c r="N230" s="10" t="s">
        <v>967</v>
      </c>
      <c r="O230" s="8" t="str">
        <f aca="false">IF(M230="prescription","Yes","No")</f>
        <v>Yes</v>
      </c>
      <c r="P230" s="6"/>
      <c r="Q230" s="6" t="s">
        <v>1176</v>
      </c>
    </row>
    <row r="231" customFormat="false" ht="15" hidden="false" customHeight="false" outlineLevel="0" collapsed="false">
      <c r="A231" s="6" t="s">
        <v>1177</v>
      </c>
      <c r="B231" s="6" t="s">
        <v>1178</v>
      </c>
      <c r="C231" s="6" t="s">
        <v>1179</v>
      </c>
      <c r="D231" s="6" t="s">
        <v>1122</v>
      </c>
      <c r="E231" s="6" t="s">
        <v>95</v>
      </c>
      <c r="F231" s="6" t="s">
        <v>965</v>
      </c>
      <c r="G231" s="6" t="s">
        <v>976</v>
      </c>
      <c r="H231" s="7" t="n">
        <v>690</v>
      </c>
      <c r="I231" s="8" t="n">
        <v>10</v>
      </c>
      <c r="J231" s="9" t="n">
        <v>81.45</v>
      </c>
      <c r="K231" s="8" t="s">
        <v>35</v>
      </c>
      <c r="L231" s="10" t="s">
        <v>98</v>
      </c>
      <c r="M231" s="10" t="s">
        <v>409</v>
      </c>
      <c r="N231" s="10" t="s">
        <v>967</v>
      </c>
      <c r="O231" s="8" t="str">
        <f aca="false">IF(M231="prescription","Yes","No")</f>
        <v>Yes</v>
      </c>
      <c r="P231" s="6"/>
      <c r="Q231" s="6" t="s">
        <v>1180</v>
      </c>
    </row>
    <row r="232" customFormat="false" ht="15" hidden="false" customHeight="false" outlineLevel="0" collapsed="false">
      <c r="A232" s="6" t="s">
        <v>1181</v>
      </c>
      <c r="B232" s="6" t="s">
        <v>1182</v>
      </c>
      <c r="C232" s="6" t="s">
        <v>797</v>
      </c>
      <c r="D232" s="6" t="s">
        <v>1136</v>
      </c>
      <c r="E232" s="6" t="s">
        <v>407</v>
      </c>
      <c r="F232" s="6" t="s">
        <v>1064</v>
      </c>
      <c r="G232" s="6" t="s">
        <v>1118</v>
      </c>
      <c r="H232" s="7" t="n">
        <v>220</v>
      </c>
      <c r="I232" s="8" t="n">
        <v>1</v>
      </c>
      <c r="J232" s="9" t="n">
        <v>209.29</v>
      </c>
      <c r="K232" s="8" t="s">
        <v>35</v>
      </c>
      <c r="L232" s="10" t="s">
        <v>98</v>
      </c>
      <c r="M232" s="10" t="s">
        <v>409</v>
      </c>
      <c r="N232" s="10" t="s">
        <v>967</v>
      </c>
      <c r="O232" s="8" t="str">
        <f aca="false">IF(M232="prescription","Yes","No")</f>
        <v>Yes</v>
      </c>
      <c r="P232" s="6"/>
      <c r="Q232" s="6" t="s">
        <v>1183</v>
      </c>
    </row>
    <row r="233" customFormat="false" ht="15" hidden="false" customHeight="false" outlineLevel="0" collapsed="false">
      <c r="A233" s="6" t="s">
        <v>1184</v>
      </c>
      <c r="B233" s="6" t="s">
        <v>1185</v>
      </c>
      <c r="C233" s="6" t="s">
        <v>140</v>
      </c>
      <c r="D233" s="6" t="s">
        <v>1034</v>
      </c>
      <c r="E233" s="6" t="s">
        <v>95</v>
      </c>
      <c r="F233" s="6" t="s">
        <v>965</v>
      </c>
      <c r="G233" s="6" t="s">
        <v>1035</v>
      </c>
      <c r="H233" s="7" t="n">
        <v>1080</v>
      </c>
      <c r="I233" s="8" t="n">
        <v>30</v>
      </c>
      <c r="J233" s="9" t="n">
        <v>88.75</v>
      </c>
      <c r="K233" s="8" t="s">
        <v>35</v>
      </c>
      <c r="L233" s="10" t="s">
        <v>98</v>
      </c>
      <c r="M233" s="10" t="s">
        <v>409</v>
      </c>
      <c r="N233" s="10" t="s">
        <v>967</v>
      </c>
      <c r="O233" s="8" t="str">
        <f aca="false">IF(M233="prescription","Yes","No")</f>
        <v>Yes</v>
      </c>
      <c r="P233" s="6"/>
      <c r="Q233" s="6" t="s">
        <v>1186</v>
      </c>
    </row>
    <row r="234" customFormat="false" ht="15" hidden="false" customHeight="false" outlineLevel="0" collapsed="false">
      <c r="A234" s="6" t="s">
        <v>1187</v>
      </c>
      <c r="B234" s="6" t="s">
        <v>1188</v>
      </c>
      <c r="C234" s="6" t="s">
        <v>971</v>
      </c>
      <c r="D234" s="6" t="s">
        <v>1189</v>
      </c>
      <c r="E234" s="6" t="s">
        <v>95</v>
      </c>
      <c r="F234" s="6" t="s">
        <v>965</v>
      </c>
      <c r="G234" s="6" t="s">
        <v>976</v>
      </c>
      <c r="H234" s="7" t="n">
        <v>0</v>
      </c>
      <c r="I234" s="8" t="n">
        <v>10</v>
      </c>
      <c r="J234" s="9" t="n">
        <v>4.2</v>
      </c>
      <c r="K234" s="8" t="s">
        <v>87</v>
      </c>
      <c r="L234" s="10" t="s">
        <v>98</v>
      </c>
      <c r="M234" s="10" t="s">
        <v>409</v>
      </c>
      <c r="N234" s="10" t="s">
        <v>967</v>
      </c>
      <c r="O234" s="8" t="str">
        <f aca="false">IF(M234="prescription","Yes","No")</f>
        <v>Yes</v>
      </c>
      <c r="P234" s="6" t="s">
        <v>89</v>
      </c>
      <c r="Q234" s="6" t="s">
        <v>1190</v>
      </c>
    </row>
    <row r="235" customFormat="false" ht="15" hidden="false" customHeight="false" outlineLevel="0" collapsed="false">
      <c r="A235" s="6" t="s">
        <v>1191</v>
      </c>
      <c r="B235" s="6" t="s">
        <v>1192</v>
      </c>
      <c r="C235" s="6" t="s">
        <v>140</v>
      </c>
      <c r="D235" s="6" t="s">
        <v>1193</v>
      </c>
      <c r="E235" s="6" t="s">
        <v>95</v>
      </c>
      <c r="F235" s="6" t="s">
        <v>965</v>
      </c>
      <c r="G235" s="6" t="s">
        <v>1194</v>
      </c>
      <c r="H235" s="7" t="n">
        <v>490</v>
      </c>
      <c r="I235" s="8" t="n">
        <v>10</v>
      </c>
      <c r="J235" s="9" t="n">
        <v>556.49</v>
      </c>
      <c r="K235" s="8" t="s">
        <v>35</v>
      </c>
      <c r="L235" s="10" t="s">
        <v>98</v>
      </c>
      <c r="M235" s="10" t="s">
        <v>409</v>
      </c>
      <c r="N235" s="10" t="s">
        <v>967</v>
      </c>
      <c r="O235" s="8" t="str">
        <f aca="false">IF(M235="prescription","Yes","No")</f>
        <v>Yes</v>
      </c>
      <c r="P235" s="6"/>
      <c r="Q235" s="6" t="s">
        <v>1195</v>
      </c>
    </row>
    <row r="236" customFormat="false" ht="15" hidden="false" customHeight="false" outlineLevel="0" collapsed="false">
      <c r="A236" s="6" t="s">
        <v>1196</v>
      </c>
      <c r="B236" s="6" t="s">
        <v>1197</v>
      </c>
      <c r="C236" s="6" t="s">
        <v>554</v>
      </c>
      <c r="D236" s="6" t="s">
        <v>1198</v>
      </c>
      <c r="E236" s="6" t="s">
        <v>95</v>
      </c>
      <c r="F236" s="6" t="s">
        <v>965</v>
      </c>
      <c r="G236" s="6" t="s">
        <v>1002</v>
      </c>
      <c r="H236" s="7" t="n">
        <v>300</v>
      </c>
      <c r="I236" s="8" t="n">
        <v>30</v>
      </c>
      <c r="J236" s="9" t="n">
        <v>121.39</v>
      </c>
      <c r="K236" s="8" t="s">
        <v>35</v>
      </c>
      <c r="L236" s="10" t="s">
        <v>98</v>
      </c>
      <c r="M236" s="10" t="s">
        <v>409</v>
      </c>
      <c r="N236" s="10" t="s">
        <v>967</v>
      </c>
      <c r="O236" s="8" t="str">
        <f aca="false">IF(M236="prescription","Yes","No")</f>
        <v>Yes</v>
      </c>
      <c r="P236" s="6"/>
      <c r="Q236" s="6" t="s">
        <v>1199</v>
      </c>
    </row>
    <row r="237" customFormat="false" ht="15" hidden="false" customHeight="false" outlineLevel="0" collapsed="false">
      <c r="A237" s="6" t="s">
        <v>1200</v>
      </c>
      <c r="B237" s="6" t="s">
        <v>1201</v>
      </c>
      <c r="C237" s="6" t="s">
        <v>554</v>
      </c>
      <c r="D237" s="6" t="s">
        <v>1202</v>
      </c>
      <c r="E237" s="6" t="s">
        <v>95</v>
      </c>
      <c r="F237" s="6" t="s">
        <v>965</v>
      </c>
      <c r="G237" s="6" t="s">
        <v>1002</v>
      </c>
      <c r="H237" s="7" t="n">
        <v>270</v>
      </c>
      <c r="I237" s="8" t="n">
        <v>30</v>
      </c>
      <c r="J237" s="9" t="n">
        <v>185.77</v>
      </c>
      <c r="K237" s="8" t="s">
        <v>35</v>
      </c>
      <c r="L237" s="10" t="s">
        <v>98</v>
      </c>
      <c r="M237" s="10" t="s">
        <v>409</v>
      </c>
      <c r="N237" s="10" t="s">
        <v>967</v>
      </c>
      <c r="O237" s="8" t="str">
        <f aca="false">IF(M237="prescription","Yes","No")</f>
        <v>Yes</v>
      </c>
      <c r="P237" s="6"/>
      <c r="Q237" s="6" t="s">
        <v>1203</v>
      </c>
    </row>
    <row r="238" customFormat="false" ht="15" hidden="false" customHeight="false" outlineLevel="0" collapsed="false">
      <c r="A238" s="6" t="s">
        <v>1204</v>
      </c>
      <c r="B238" s="6" t="s">
        <v>1205</v>
      </c>
      <c r="C238" s="6" t="s">
        <v>199</v>
      </c>
      <c r="D238" s="6" t="s">
        <v>1202</v>
      </c>
      <c r="E238" s="6" t="s">
        <v>95</v>
      </c>
      <c r="F238" s="6" t="s">
        <v>965</v>
      </c>
      <c r="G238" s="6" t="s">
        <v>1002</v>
      </c>
      <c r="H238" s="7" t="n">
        <v>510</v>
      </c>
      <c r="I238" s="8" t="n">
        <v>30</v>
      </c>
      <c r="J238" s="9" t="n">
        <v>233.57</v>
      </c>
      <c r="K238" s="8" t="s">
        <v>35</v>
      </c>
      <c r="L238" s="10" t="s">
        <v>98</v>
      </c>
      <c r="M238" s="10" t="s">
        <v>409</v>
      </c>
      <c r="N238" s="10" t="s">
        <v>967</v>
      </c>
      <c r="O238" s="8" t="str">
        <f aca="false">IF(M238="prescription","Yes","No")</f>
        <v>Yes</v>
      </c>
      <c r="P238" s="6"/>
      <c r="Q238" s="6" t="s">
        <v>1206</v>
      </c>
    </row>
    <row r="239" customFormat="false" ht="15" hidden="false" customHeight="false" outlineLevel="0" collapsed="false">
      <c r="A239" s="6" t="s">
        <v>1207</v>
      </c>
      <c r="B239" s="6" t="s">
        <v>1208</v>
      </c>
      <c r="C239" s="6" t="s">
        <v>262</v>
      </c>
      <c r="D239" s="6" t="s">
        <v>1202</v>
      </c>
      <c r="E239" s="6" t="s">
        <v>95</v>
      </c>
      <c r="F239" s="6" t="s">
        <v>965</v>
      </c>
      <c r="G239" s="6" t="s">
        <v>1002</v>
      </c>
      <c r="H239" s="7" t="n">
        <v>350</v>
      </c>
      <c r="I239" s="8" t="n">
        <v>10</v>
      </c>
      <c r="J239" s="9" t="n">
        <v>64.99</v>
      </c>
      <c r="K239" s="8" t="s">
        <v>35</v>
      </c>
      <c r="L239" s="10" t="s">
        <v>98</v>
      </c>
      <c r="M239" s="10" t="s">
        <v>409</v>
      </c>
      <c r="N239" s="10" t="s">
        <v>967</v>
      </c>
      <c r="O239" s="8" t="str">
        <f aca="false">IF(M239="prescription","Yes","No")</f>
        <v>Yes</v>
      </c>
      <c r="P239" s="6"/>
      <c r="Q239" s="6" t="s">
        <v>1209</v>
      </c>
    </row>
    <row r="240" customFormat="false" ht="15" hidden="false" customHeight="false" outlineLevel="0" collapsed="false">
      <c r="A240" s="6" t="s">
        <v>1210</v>
      </c>
      <c r="B240" s="6" t="s">
        <v>1211</v>
      </c>
      <c r="C240" s="6" t="s">
        <v>1212</v>
      </c>
      <c r="D240" s="6" t="s">
        <v>1213</v>
      </c>
      <c r="E240" s="6" t="s">
        <v>95</v>
      </c>
      <c r="F240" s="6" t="s">
        <v>965</v>
      </c>
      <c r="G240" s="6" t="s">
        <v>1088</v>
      </c>
      <c r="H240" s="7" t="n">
        <v>180</v>
      </c>
      <c r="I240" s="8" t="n">
        <v>30</v>
      </c>
      <c r="J240" s="9" t="n">
        <v>310.82</v>
      </c>
      <c r="K240" s="8" t="s">
        <v>35</v>
      </c>
      <c r="L240" s="10" t="s">
        <v>98</v>
      </c>
      <c r="M240" s="10" t="s">
        <v>409</v>
      </c>
      <c r="N240" s="10" t="s">
        <v>967</v>
      </c>
      <c r="O240" s="8" t="str">
        <f aca="false">IF(M240="prescription","Yes","No")</f>
        <v>Yes</v>
      </c>
      <c r="P240" s="6"/>
      <c r="Q240" s="6" t="s">
        <v>1214</v>
      </c>
    </row>
    <row r="241" customFormat="false" ht="15" hidden="false" customHeight="false" outlineLevel="0" collapsed="false">
      <c r="A241" s="6" t="s">
        <v>1215</v>
      </c>
      <c r="B241" s="6" t="s">
        <v>1216</v>
      </c>
      <c r="C241" s="6" t="s">
        <v>1212</v>
      </c>
      <c r="D241" s="6" t="s">
        <v>1217</v>
      </c>
      <c r="E241" s="6" t="s">
        <v>95</v>
      </c>
      <c r="F241" s="6" t="s">
        <v>965</v>
      </c>
      <c r="G241" s="6" t="s">
        <v>1088</v>
      </c>
      <c r="H241" s="7" t="n">
        <v>60</v>
      </c>
      <c r="I241" s="8" t="n">
        <v>30</v>
      </c>
      <c r="J241" s="9" t="n">
        <v>240.03</v>
      </c>
      <c r="K241" s="8" t="s">
        <v>35</v>
      </c>
      <c r="L241" s="10" t="s">
        <v>98</v>
      </c>
      <c r="M241" s="10" t="s">
        <v>409</v>
      </c>
      <c r="N241" s="10" t="s">
        <v>967</v>
      </c>
      <c r="O241" s="8" t="str">
        <f aca="false">IF(M241="prescription","Yes","No")</f>
        <v>Yes</v>
      </c>
      <c r="P241" s="6"/>
      <c r="Q241" s="6" t="s">
        <v>1218</v>
      </c>
    </row>
    <row r="242" customFormat="false" ht="15" hidden="false" customHeight="false" outlineLevel="0" collapsed="false">
      <c r="A242" s="6" t="s">
        <v>1219</v>
      </c>
      <c r="B242" s="6" t="s">
        <v>1220</v>
      </c>
      <c r="C242" s="6" t="s">
        <v>1212</v>
      </c>
      <c r="D242" s="6" t="s">
        <v>1202</v>
      </c>
      <c r="E242" s="6" t="s">
        <v>95</v>
      </c>
      <c r="F242" s="6" t="s">
        <v>965</v>
      </c>
      <c r="G242" s="6" t="s">
        <v>1002</v>
      </c>
      <c r="H242" s="7" t="n">
        <v>240</v>
      </c>
      <c r="I242" s="8" t="n">
        <v>30</v>
      </c>
      <c r="J242" s="9" t="n">
        <v>154.27</v>
      </c>
      <c r="K242" s="8" t="s">
        <v>35</v>
      </c>
      <c r="L242" s="10" t="s">
        <v>98</v>
      </c>
      <c r="M242" s="10" t="s">
        <v>409</v>
      </c>
      <c r="N242" s="10" t="s">
        <v>967</v>
      </c>
      <c r="O242" s="8" t="str">
        <f aca="false">IF(M242="prescription","Yes","No")</f>
        <v>Yes</v>
      </c>
      <c r="P242" s="6"/>
      <c r="Q242" s="6" t="s">
        <v>1221</v>
      </c>
    </row>
    <row r="243" customFormat="false" ht="15" hidden="false" customHeight="false" outlineLevel="0" collapsed="false">
      <c r="A243" s="6" t="s">
        <v>1222</v>
      </c>
      <c r="B243" s="6" t="s">
        <v>1223</v>
      </c>
      <c r="C243" s="6" t="s">
        <v>554</v>
      </c>
      <c r="D243" s="6" t="s">
        <v>990</v>
      </c>
      <c r="E243" s="6" t="s">
        <v>95</v>
      </c>
      <c r="F243" s="6" t="s">
        <v>965</v>
      </c>
      <c r="G243" s="6" t="s">
        <v>986</v>
      </c>
      <c r="H243" s="7" t="n">
        <v>0</v>
      </c>
      <c r="I243" s="8" t="n">
        <v>30</v>
      </c>
      <c r="J243" s="9" t="n">
        <v>75.23</v>
      </c>
      <c r="K243" s="8" t="s">
        <v>87</v>
      </c>
      <c r="L243" s="10" t="s">
        <v>98</v>
      </c>
      <c r="M243" s="10" t="s">
        <v>409</v>
      </c>
      <c r="N243" s="10" t="s">
        <v>967</v>
      </c>
      <c r="O243" s="8" t="str">
        <f aca="false">IF(M243="prescription","Yes","No")</f>
        <v>Yes</v>
      </c>
      <c r="P243" s="6" t="s">
        <v>89</v>
      </c>
      <c r="Q243" s="6" t="s">
        <v>1224</v>
      </c>
    </row>
    <row r="244" customFormat="false" ht="15" hidden="false" customHeight="false" outlineLevel="0" collapsed="false">
      <c r="A244" s="6" t="s">
        <v>1225</v>
      </c>
      <c r="B244" s="6" t="s">
        <v>1226</v>
      </c>
      <c r="C244" s="6" t="s">
        <v>569</v>
      </c>
      <c r="D244" s="6" t="s">
        <v>1227</v>
      </c>
      <c r="E244" s="6" t="s">
        <v>95</v>
      </c>
      <c r="F244" s="6" t="s">
        <v>965</v>
      </c>
      <c r="G244" s="6" t="s">
        <v>981</v>
      </c>
      <c r="H244" s="7" t="n">
        <v>460</v>
      </c>
      <c r="I244" s="8" t="n">
        <v>10</v>
      </c>
      <c r="J244" s="9" t="n">
        <v>40.01</v>
      </c>
      <c r="K244" s="8" t="s">
        <v>35</v>
      </c>
      <c r="L244" s="10" t="s">
        <v>98</v>
      </c>
      <c r="M244" s="10" t="s">
        <v>409</v>
      </c>
      <c r="N244" s="10" t="s">
        <v>967</v>
      </c>
      <c r="O244" s="8" t="str">
        <f aca="false">IF(M244="prescription","Yes","No")</f>
        <v>Yes</v>
      </c>
      <c r="P244" s="6"/>
      <c r="Q244" s="6" t="s">
        <v>1228</v>
      </c>
    </row>
    <row r="245" customFormat="false" ht="15" hidden="false" customHeight="false" outlineLevel="0" collapsed="false">
      <c r="A245" s="6" t="s">
        <v>1229</v>
      </c>
      <c r="B245" s="6" t="s">
        <v>1230</v>
      </c>
      <c r="C245" s="6" t="s">
        <v>389</v>
      </c>
      <c r="D245" s="6" t="s">
        <v>1231</v>
      </c>
      <c r="E245" s="6" t="s">
        <v>95</v>
      </c>
      <c r="F245" s="6" t="s">
        <v>965</v>
      </c>
      <c r="G245" s="6" t="s">
        <v>981</v>
      </c>
      <c r="H245" s="7" t="n">
        <v>26260</v>
      </c>
      <c r="I245" s="8" t="n">
        <v>30</v>
      </c>
      <c r="J245" s="9" t="n">
        <v>65.57</v>
      </c>
      <c r="K245" s="8" t="s">
        <v>35</v>
      </c>
      <c r="L245" s="10" t="s">
        <v>98</v>
      </c>
      <c r="M245" s="10" t="s">
        <v>409</v>
      </c>
      <c r="N245" s="10" t="s">
        <v>967</v>
      </c>
      <c r="O245" s="8" t="str">
        <f aca="false">IF(M245="prescription","Yes","No")</f>
        <v>Yes</v>
      </c>
      <c r="P245" s="6"/>
      <c r="Q245" s="6" t="s">
        <v>1232</v>
      </c>
    </row>
    <row r="246" customFormat="false" ht="15" hidden="false" customHeight="false" outlineLevel="0" collapsed="false">
      <c r="A246" s="6" t="s">
        <v>1233</v>
      </c>
      <c r="B246" s="6" t="s">
        <v>1234</v>
      </c>
      <c r="C246" s="6" t="s">
        <v>1166</v>
      </c>
      <c r="D246" s="6" t="s">
        <v>1235</v>
      </c>
      <c r="E246" s="6" t="s">
        <v>407</v>
      </c>
      <c r="F246" s="6" t="s">
        <v>1064</v>
      </c>
      <c r="G246" s="6" t="s">
        <v>1118</v>
      </c>
      <c r="H246" s="7" t="n">
        <v>0</v>
      </c>
      <c r="I246" s="8" t="n">
        <v>1</v>
      </c>
      <c r="J246" s="9" t="n">
        <v>26600</v>
      </c>
      <c r="K246" s="8" t="s">
        <v>87</v>
      </c>
      <c r="L246" s="10" t="s">
        <v>98</v>
      </c>
      <c r="M246" s="10" t="s">
        <v>409</v>
      </c>
      <c r="N246" s="10" t="s">
        <v>967</v>
      </c>
      <c r="O246" s="8" t="str">
        <f aca="false">IF(M246="prescription","Yes","No")</f>
        <v>Yes</v>
      </c>
      <c r="P246" s="6" t="s">
        <v>89</v>
      </c>
      <c r="Q246" s="6" t="s">
        <v>1236</v>
      </c>
    </row>
    <row r="247" customFormat="false" ht="15" hidden="false" customHeight="false" outlineLevel="0" collapsed="false">
      <c r="A247" s="6" t="s">
        <v>1237</v>
      </c>
      <c r="B247" s="6" t="s">
        <v>1238</v>
      </c>
      <c r="C247" s="6" t="s">
        <v>952</v>
      </c>
      <c r="D247" s="6" t="s">
        <v>1006</v>
      </c>
      <c r="E247" s="6" t="s">
        <v>95</v>
      </c>
      <c r="F247" s="6" t="s">
        <v>965</v>
      </c>
      <c r="G247" s="6" t="s">
        <v>1002</v>
      </c>
      <c r="H247" s="7" t="n">
        <v>111</v>
      </c>
      <c r="I247" s="8" t="n">
        <v>30</v>
      </c>
      <c r="J247" s="9" t="n">
        <v>45.43</v>
      </c>
      <c r="K247" s="8" t="s">
        <v>35</v>
      </c>
      <c r="L247" s="10" t="s">
        <v>98</v>
      </c>
      <c r="M247" s="10" t="s">
        <v>409</v>
      </c>
      <c r="N247" s="10" t="s">
        <v>967</v>
      </c>
      <c r="O247" s="8" t="str">
        <f aca="false">IF(M247="prescription","Yes","No")</f>
        <v>Yes</v>
      </c>
      <c r="P247" s="6"/>
      <c r="Q247" s="6" t="s">
        <v>1239</v>
      </c>
    </row>
    <row r="248" customFormat="false" ht="15" hidden="false" customHeight="false" outlineLevel="0" collapsed="false">
      <c r="A248" s="6" t="s">
        <v>1240</v>
      </c>
      <c r="B248" s="6" t="s">
        <v>1241</v>
      </c>
      <c r="C248" s="6" t="s">
        <v>1242</v>
      </c>
      <c r="D248" s="6" t="s">
        <v>1243</v>
      </c>
      <c r="E248" s="6" t="s">
        <v>95</v>
      </c>
      <c r="F248" s="6" t="s">
        <v>965</v>
      </c>
      <c r="G248" s="6" t="s">
        <v>1058</v>
      </c>
      <c r="H248" s="7" t="n">
        <v>4</v>
      </c>
      <c r="I248" s="8" t="n">
        <v>4</v>
      </c>
      <c r="J248" s="9" t="n">
        <v>96.39</v>
      </c>
      <c r="K248" s="8" t="s">
        <v>35</v>
      </c>
      <c r="L248" s="10" t="s">
        <v>98</v>
      </c>
      <c r="M248" s="10" t="s">
        <v>409</v>
      </c>
      <c r="N248" s="10" t="s">
        <v>967</v>
      </c>
      <c r="O248" s="8" t="str">
        <f aca="false">IF(M248="prescription","Yes","No")</f>
        <v>Yes</v>
      </c>
      <c r="P248" s="6"/>
      <c r="Q248" s="6" t="s">
        <v>1244</v>
      </c>
    </row>
    <row r="249" customFormat="false" ht="15" hidden="false" customHeight="false" outlineLevel="0" collapsed="false">
      <c r="A249" s="6" t="s">
        <v>1245</v>
      </c>
      <c r="B249" s="6" t="s">
        <v>1246</v>
      </c>
      <c r="C249" s="6" t="s">
        <v>430</v>
      </c>
      <c r="D249" s="6" t="s">
        <v>1247</v>
      </c>
      <c r="E249" s="6" t="s">
        <v>95</v>
      </c>
      <c r="F249" s="6" t="s">
        <v>965</v>
      </c>
      <c r="G249" s="6" t="s">
        <v>966</v>
      </c>
      <c r="H249" s="7" t="n">
        <v>804</v>
      </c>
      <c r="I249" s="8" t="n">
        <v>84</v>
      </c>
      <c r="J249" s="9" t="n">
        <v>238.44</v>
      </c>
      <c r="K249" s="8" t="s">
        <v>35</v>
      </c>
      <c r="L249" s="10" t="s">
        <v>98</v>
      </c>
      <c r="M249" s="10" t="s">
        <v>409</v>
      </c>
      <c r="N249" s="10" t="s">
        <v>967</v>
      </c>
      <c r="O249" s="8" t="str">
        <f aca="false">IF(M249="prescription","Yes","No")</f>
        <v>Yes</v>
      </c>
      <c r="P249" s="6"/>
      <c r="Q249" s="6" t="s">
        <v>1248</v>
      </c>
    </row>
    <row r="250" customFormat="false" ht="15" hidden="false" customHeight="false" outlineLevel="0" collapsed="false">
      <c r="A250" s="6" t="s">
        <v>1249</v>
      </c>
      <c r="B250" s="6" t="s">
        <v>1250</v>
      </c>
      <c r="C250" s="6" t="s">
        <v>1000</v>
      </c>
      <c r="D250" s="6" t="s">
        <v>1251</v>
      </c>
      <c r="E250" s="6" t="s">
        <v>95</v>
      </c>
      <c r="F250" s="6" t="s">
        <v>965</v>
      </c>
      <c r="G250" s="6" t="s">
        <v>976</v>
      </c>
      <c r="H250" s="7" t="n">
        <v>45053</v>
      </c>
      <c r="I250" s="8" t="n">
        <v>28</v>
      </c>
      <c r="J250" s="9" t="n">
        <v>39.19</v>
      </c>
      <c r="K250" s="8" t="s">
        <v>35</v>
      </c>
      <c r="L250" s="10" t="s">
        <v>98</v>
      </c>
      <c r="M250" s="10" t="s">
        <v>409</v>
      </c>
      <c r="N250" s="10" t="s">
        <v>967</v>
      </c>
      <c r="O250" s="8" t="str">
        <f aca="false">IF(M250="prescription","Yes","No")</f>
        <v>Yes</v>
      </c>
      <c r="P250" s="6"/>
      <c r="Q250" s="6" t="s">
        <v>1252</v>
      </c>
    </row>
    <row r="251" customFormat="false" ht="15" hidden="false" customHeight="false" outlineLevel="0" collapsed="false">
      <c r="A251" s="6" t="s">
        <v>1253</v>
      </c>
      <c r="B251" s="6" t="s">
        <v>1254</v>
      </c>
      <c r="C251" s="6" t="s">
        <v>1255</v>
      </c>
      <c r="D251" s="6" t="s">
        <v>1256</v>
      </c>
      <c r="E251" s="6" t="s">
        <v>95</v>
      </c>
      <c r="F251" s="6" t="s">
        <v>965</v>
      </c>
      <c r="G251" s="6" t="s">
        <v>1044</v>
      </c>
      <c r="H251" s="7" t="n">
        <v>832</v>
      </c>
      <c r="I251" s="8" t="n">
        <v>28</v>
      </c>
      <c r="J251" s="9" t="n">
        <v>133.49</v>
      </c>
      <c r="K251" s="8" t="s">
        <v>35</v>
      </c>
      <c r="L251" s="10" t="s">
        <v>98</v>
      </c>
      <c r="M251" s="10" t="s">
        <v>409</v>
      </c>
      <c r="N251" s="10" t="s">
        <v>967</v>
      </c>
      <c r="O251" s="8" t="str">
        <f aca="false">IF(M251="prescription","Yes","No")</f>
        <v>Yes</v>
      </c>
      <c r="P251" s="6"/>
      <c r="Q251" s="6" t="s">
        <v>1257</v>
      </c>
    </row>
    <row r="252" customFormat="false" ht="15" hidden="false" customHeight="false" outlineLevel="0" collapsed="false">
      <c r="A252" s="6" t="s">
        <v>1258</v>
      </c>
      <c r="B252" s="6" t="s">
        <v>1259</v>
      </c>
      <c r="C252" s="6" t="s">
        <v>389</v>
      </c>
      <c r="D252" s="6" t="s">
        <v>1145</v>
      </c>
      <c r="E252" s="6" t="s">
        <v>95</v>
      </c>
      <c r="F252" s="6" t="s">
        <v>965</v>
      </c>
      <c r="G252" s="6" t="s">
        <v>981</v>
      </c>
      <c r="H252" s="7" t="n">
        <v>0</v>
      </c>
      <c r="I252" s="8" t="n">
        <v>30</v>
      </c>
      <c r="J252" s="9" t="n">
        <v>35.54</v>
      </c>
      <c r="K252" s="8" t="s">
        <v>87</v>
      </c>
      <c r="L252" s="10" t="s">
        <v>98</v>
      </c>
      <c r="M252" s="10" t="s">
        <v>409</v>
      </c>
      <c r="N252" s="10" t="s">
        <v>967</v>
      </c>
      <c r="O252" s="8" t="str">
        <f aca="false">IF(M252="prescription","Yes","No")</f>
        <v>Yes</v>
      </c>
      <c r="P252" s="6" t="s">
        <v>89</v>
      </c>
      <c r="Q252" s="6" t="s">
        <v>1260</v>
      </c>
    </row>
    <row r="253" customFormat="false" ht="15" hidden="false" customHeight="false" outlineLevel="0" collapsed="false">
      <c r="A253" s="6" t="s">
        <v>1261</v>
      </c>
      <c r="B253" s="6" t="s">
        <v>1262</v>
      </c>
      <c r="C253" s="6" t="s">
        <v>709</v>
      </c>
      <c r="D253" s="6" t="s">
        <v>1263</v>
      </c>
      <c r="E253" s="6" t="s">
        <v>106</v>
      </c>
      <c r="F253" s="6" t="s">
        <v>1264</v>
      </c>
      <c r="G253" s="6" t="s">
        <v>1265</v>
      </c>
      <c r="H253" s="7" t="n">
        <v>1395</v>
      </c>
      <c r="I253" s="8" t="n">
        <v>30</v>
      </c>
      <c r="J253" s="9" t="n">
        <v>220.03</v>
      </c>
      <c r="K253" s="8" t="s">
        <v>35</v>
      </c>
      <c r="L253" s="10" t="s">
        <v>98</v>
      </c>
      <c r="M253" s="10" t="s">
        <v>409</v>
      </c>
      <c r="N253" s="10" t="s">
        <v>1266</v>
      </c>
      <c r="O253" s="8" t="str">
        <f aca="false">IF(M253="prescription","Yes","No")</f>
        <v>Yes</v>
      </c>
      <c r="P253" s="6"/>
      <c r="Q253" s="6" t="s">
        <v>1267</v>
      </c>
    </row>
    <row r="254" customFormat="false" ht="15" hidden="false" customHeight="false" outlineLevel="0" collapsed="false">
      <c r="A254" s="6" t="s">
        <v>1268</v>
      </c>
      <c r="B254" s="6" t="s">
        <v>1269</v>
      </c>
      <c r="C254" s="6" t="s">
        <v>93</v>
      </c>
      <c r="D254" s="6" t="s">
        <v>1270</v>
      </c>
      <c r="E254" s="6" t="s">
        <v>95</v>
      </c>
      <c r="F254" s="6" t="s">
        <v>1264</v>
      </c>
      <c r="G254" s="6" t="s">
        <v>1271</v>
      </c>
      <c r="H254" s="7" t="n">
        <v>18495</v>
      </c>
      <c r="I254" s="8" t="n">
        <v>20</v>
      </c>
      <c r="J254" s="9" t="n">
        <v>4</v>
      </c>
      <c r="K254" s="8" t="s">
        <v>35</v>
      </c>
      <c r="L254" s="10" t="s">
        <v>98</v>
      </c>
      <c r="M254" s="10" t="s">
        <v>409</v>
      </c>
      <c r="N254" s="10" t="s">
        <v>1266</v>
      </c>
      <c r="O254" s="8" t="str">
        <f aca="false">IF(M254="prescription","Yes","No")</f>
        <v>Yes</v>
      </c>
      <c r="P254" s="6"/>
      <c r="Q254" s="6" t="s">
        <v>1272</v>
      </c>
    </row>
    <row r="255" customFormat="false" ht="15" hidden="false" customHeight="false" outlineLevel="0" collapsed="false">
      <c r="A255" s="6" t="s">
        <v>1273</v>
      </c>
      <c r="B255" s="6" t="s">
        <v>1274</v>
      </c>
      <c r="C255" s="6" t="s">
        <v>560</v>
      </c>
      <c r="D255" s="6" t="s">
        <v>1275</v>
      </c>
      <c r="E255" s="6" t="s">
        <v>95</v>
      </c>
      <c r="F255" s="6" t="s">
        <v>1264</v>
      </c>
      <c r="G255" s="6" t="s">
        <v>1276</v>
      </c>
      <c r="H255" s="7" t="n">
        <v>2040</v>
      </c>
      <c r="I255" s="8" t="n">
        <v>10</v>
      </c>
      <c r="J255" s="9" t="n">
        <v>21.24</v>
      </c>
      <c r="K255" s="8" t="s">
        <v>35</v>
      </c>
      <c r="L255" s="10" t="s">
        <v>98</v>
      </c>
      <c r="M255" s="10" t="s">
        <v>409</v>
      </c>
      <c r="N255" s="10" t="s">
        <v>1266</v>
      </c>
      <c r="O255" s="8" t="str">
        <f aca="false">IF(M255="prescription","Yes","No")</f>
        <v>Yes</v>
      </c>
      <c r="P255" s="6"/>
      <c r="Q255" s="6" t="s">
        <v>1277</v>
      </c>
    </row>
    <row r="256" customFormat="false" ht="15" hidden="false" customHeight="false" outlineLevel="0" collapsed="false">
      <c r="A256" s="6" t="s">
        <v>1278</v>
      </c>
      <c r="B256" s="6" t="s">
        <v>1279</v>
      </c>
      <c r="C256" s="6" t="s">
        <v>262</v>
      </c>
      <c r="D256" s="6" t="s">
        <v>1280</v>
      </c>
      <c r="E256" s="6" t="s">
        <v>95</v>
      </c>
      <c r="F256" s="6" t="s">
        <v>1264</v>
      </c>
      <c r="G256" s="6" t="s">
        <v>1271</v>
      </c>
      <c r="H256" s="7" t="n">
        <v>384</v>
      </c>
      <c r="I256" s="8" t="n">
        <v>10</v>
      </c>
      <c r="J256" s="9" t="n">
        <v>27.72</v>
      </c>
      <c r="K256" s="8" t="s">
        <v>35</v>
      </c>
      <c r="L256" s="10" t="s">
        <v>98</v>
      </c>
      <c r="M256" s="10" t="s">
        <v>409</v>
      </c>
      <c r="N256" s="10" t="s">
        <v>1266</v>
      </c>
      <c r="O256" s="8" t="str">
        <f aca="false">IF(M256="prescription","Yes","No")</f>
        <v>Yes</v>
      </c>
      <c r="P256" s="6"/>
      <c r="Q256" s="6" t="s">
        <v>1281</v>
      </c>
    </row>
    <row r="257" customFormat="false" ht="15" hidden="false" customHeight="false" outlineLevel="0" collapsed="false">
      <c r="A257" s="6" t="s">
        <v>1282</v>
      </c>
      <c r="B257" s="6" t="s">
        <v>1283</v>
      </c>
      <c r="C257" s="6" t="s">
        <v>210</v>
      </c>
      <c r="D257" s="6" t="s">
        <v>1284</v>
      </c>
      <c r="E257" s="6" t="s">
        <v>95</v>
      </c>
      <c r="F257" s="6" t="s">
        <v>1264</v>
      </c>
      <c r="G257" s="6" t="s">
        <v>1285</v>
      </c>
      <c r="H257" s="7" t="n">
        <v>220</v>
      </c>
      <c r="I257" s="8" t="n">
        <v>10</v>
      </c>
      <c r="J257" s="9" t="n">
        <v>7.98</v>
      </c>
      <c r="K257" s="8" t="s">
        <v>35</v>
      </c>
      <c r="L257" s="10" t="s">
        <v>98</v>
      </c>
      <c r="M257" s="10" t="s">
        <v>409</v>
      </c>
      <c r="N257" s="10" t="s">
        <v>1266</v>
      </c>
      <c r="O257" s="8" t="str">
        <f aca="false">IF(M257="prescription","Yes","No")</f>
        <v>Yes</v>
      </c>
      <c r="P257" s="6"/>
      <c r="Q257" s="6" t="s">
        <v>1286</v>
      </c>
    </row>
    <row r="258" customFormat="false" ht="15" hidden="false" customHeight="false" outlineLevel="0" collapsed="false">
      <c r="A258" s="6" t="s">
        <v>1287</v>
      </c>
      <c r="B258" s="6" t="s">
        <v>1288</v>
      </c>
      <c r="C258" s="6" t="s">
        <v>1289</v>
      </c>
      <c r="D258" s="6" t="s">
        <v>1290</v>
      </c>
      <c r="E258" s="6" t="s">
        <v>95</v>
      </c>
      <c r="F258" s="6" t="s">
        <v>1264</v>
      </c>
      <c r="G258" s="6" t="s">
        <v>1276</v>
      </c>
      <c r="H258" s="7" t="n">
        <v>3170</v>
      </c>
      <c r="I258" s="8" t="n">
        <v>10</v>
      </c>
      <c r="J258" s="9" t="n">
        <v>21.05</v>
      </c>
      <c r="K258" s="8" t="s">
        <v>35</v>
      </c>
      <c r="L258" s="10" t="s">
        <v>98</v>
      </c>
      <c r="M258" s="10" t="s">
        <v>409</v>
      </c>
      <c r="N258" s="10" t="s">
        <v>1266</v>
      </c>
      <c r="O258" s="8" t="str">
        <f aca="false">IF(M258="prescription","Yes","No")</f>
        <v>Yes</v>
      </c>
      <c r="P258" s="6"/>
      <c r="Q258" s="6" t="s">
        <v>1291</v>
      </c>
    </row>
    <row r="259" customFormat="false" ht="15" hidden="false" customHeight="false" outlineLevel="0" collapsed="false">
      <c r="A259" s="6" t="s">
        <v>1292</v>
      </c>
      <c r="B259" s="6" t="s">
        <v>1293</v>
      </c>
      <c r="C259" s="6" t="s">
        <v>424</v>
      </c>
      <c r="D259" s="6" t="s">
        <v>1294</v>
      </c>
      <c r="E259" s="6" t="s">
        <v>95</v>
      </c>
      <c r="F259" s="6" t="s">
        <v>1264</v>
      </c>
      <c r="G259" s="6" t="s">
        <v>1265</v>
      </c>
      <c r="H259" s="7" t="n">
        <v>58860</v>
      </c>
      <c r="I259" s="8" t="n">
        <v>30</v>
      </c>
      <c r="J259" s="9" t="n">
        <v>211.43</v>
      </c>
      <c r="K259" s="8" t="s">
        <v>35</v>
      </c>
      <c r="L259" s="10" t="s">
        <v>98</v>
      </c>
      <c r="M259" s="10" t="s">
        <v>409</v>
      </c>
      <c r="N259" s="10" t="s">
        <v>1266</v>
      </c>
      <c r="O259" s="8" t="str">
        <f aca="false">IF(M259="prescription","Yes","No")</f>
        <v>Yes</v>
      </c>
      <c r="P259" s="6"/>
      <c r="Q259" s="6" t="s">
        <v>1295</v>
      </c>
    </row>
    <row r="260" customFormat="false" ht="15" hidden="false" customHeight="false" outlineLevel="0" collapsed="false">
      <c r="A260" s="6" t="s">
        <v>1296</v>
      </c>
      <c r="B260" s="6" t="s">
        <v>1297</v>
      </c>
      <c r="C260" s="6" t="s">
        <v>1298</v>
      </c>
      <c r="D260" s="6" t="s">
        <v>1294</v>
      </c>
      <c r="E260" s="6" t="s">
        <v>95</v>
      </c>
      <c r="F260" s="6" t="s">
        <v>1264</v>
      </c>
      <c r="G260" s="6" t="s">
        <v>1276</v>
      </c>
      <c r="H260" s="7" t="n">
        <v>890</v>
      </c>
      <c r="I260" s="8" t="n">
        <v>10</v>
      </c>
      <c r="J260" s="9" t="n">
        <v>78.25</v>
      </c>
      <c r="K260" s="8" t="s">
        <v>35</v>
      </c>
      <c r="L260" s="10" t="s">
        <v>98</v>
      </c>
      <c r="M260" s="10" t="s">
        <v>409</v>
      </c>
      <c r="N260" s="10" t="s">
        <v>1266</v>
      </c>
      <c r="O260" s="8" t="str">
        <f aca="false">IF(M260="prescription","Yes","No")</f>
        <v>Yes</v>
      </c>
      <c r="P260" s="6"/>
      <c r="Q260" s="6" t="s">
        <v>1299</v>
      </c>
    </row>
    <row r="261" customFormat="false" ht="15" hidden="false" customHeight="false" outlineLevel="0" collapsed="false">
      <c r="A261" s="6" t="s">
        <v>1300</v>
      </c>
      <c r="B261" s="6" t="s">
        <v>1301</v>
      </c>
      <c r="C261" s="6" t="s">
        <v>1302</v>
      </c>
      <c r="D261" s="6" t="s">
        <v>1294</v>
      </c>
      <c r="E261" s="6" t="s">
        <v>95</v>
      </c>
      <c r="F261" s="6" t="s">
        <v>1264</v>
      </c>
      <c r="G261" s="6" t="s">
        <v>1276</v>
      </c>
      <c r="H261" s="7" t="n">
        <v>6440</v>
      </c>
      <c r="I261" s="8" t="n">
        <v>10</v>
      </c>
      <c r="J261" s="9" t="n">
        <v>78.25</v>
      </c>
      <c r="K261" s="8" t="s">
        <v>35</v>
      </c>
      <c r="L261" s="10" t="s">
        <v>98</v>
      </c>
      <c r="M261" s="10" t="s">
        <v>409</v>
      </c>
      <c r="N261" s="10" t="s">
        <v>1266</v>
      </c>
      <c r="O261" s="8" t="str">
        <f aca="false">IF(M261="prescription","Yes","No")</f>
        <v>Yes</v>
      </c>
      <c r="P261" s="6"/>
      <c r="Q261" s="6" t="s">
        <v>1303</v>
      </c>
    </row>
    <row r="262" customFormat="false" ht="15" hidden="false" customHeight="false" outlineLevel="0" collapsed="false">
      <c r="A262" s="6" t="s">
        <v>1304</v>
      </c>
      <c r="B262" s="6" t="s">
        <v>1305</v>
      </c>
      <c r="C262" s="6" t="s">
        <v>210</v>
      </c>
      <c r="D262" s="6" t="s">
        <v>1306</v>
      </c>
      <c r="E262" s="6" t="s">
        <v>106</v>
      </c>
      <c r="F262" s="6" t="s">
        <v>1264</v>
      </c>
      <c r="G262" s="6" t="s">
        <v>1307</v>
      </c>
      <c r="H262" s="7" t="n">
        <v>240</v>
      </c>
      <c r="I262" s="8" t="n">
        <v>30</v>
      </c>
      <c r="J262" s="9" t="n">
        <v>136.05</v>
      </c>
      <c r="K262" s="8" t="s">
        <v>35</v>
      </c>
      <c r="L262" s="10" t="s">
        <v>98</v>
      </c>
      <c r="M262" s="10" t="s">
        <v>409</v>
      </c>
      <c r="N262" s="10" t="s">
        <v>1266</v>
      </c>
      <c r="O262" s="8" t="str">
        <f aca="false">IF(M262="prescription","Yes","No")</f>
        <v>Yes</v>
      </c>
      <c r="P262" s="6" t="s">
        <v>1308</v>
      </c>
      <c r="Q262" s="6" t="s">
        <v>1309</v>
      </c>
    </row>
    <row r="263" customFormat="false" ht="15" hidden="false" customHeight="false" outlineLevel="0" collapsed="false">
      <c r="A263" s="6" t="s">
        <v>1310</v>
      </c>
      <c r="B263" s="6" t="s">
        <v>1311</v>
      </c>
      <c r="C263" s="6" t="s">
        <v>118</v>
      </c>
      <c r="D263" s="6" t="s">
        <v>1312</v>
      </c>
      <c r="E263" s="6" t="s">
        <v>106</v>
      </c>
      <c r="F263" s="6" t="s">
        <v>96</v>
      </c>
      <c r="G263" s="6" t="s">
        <v>149</v>
      </c>
      <c r="H263" s="7" t="n">
        <v>330</v>
      </c>
      <c r="I263" s="8" t="n">
        <v>30</v>
      </c>
      <c r="J263" s="9" t="n">
        <v>379.44</v>
      </c>
      <c r="K263" s="8" t="s">
        <v>35</v>
      </c>
      <c r="L263" s="10" t="s">
        <v>98</v>
      </c>
      <c r="M263" s="10" t="s">
        <v>409</v>
      </c>
      <c r="N263" s="10" t="s">
        <v>1266</v>
      </c>
      <c r="O263" s="8" t="str">
        <f aca="false">IF(M263="prescription","Yes","No")</f>
        <v>Yes</v>
      </c>
      <c r="P263" s="6" t="s">
        <v>1308</v>
      </c>
      <c r="Q263" s="6" t="s">
        <v>1313</v>
      </c>
    </row>
    <row r="264" customFormat="false" ht="15" hidden="false" customHeight="false" outlineLevel="0" collapsed="false">
      <c r="A264" s="6" t="s">
        <v>1314</v>
      </c>
      <c r="B264" s="6" t="s">
        <v>1315</v>
      </c>
      <c r="C264" s="6" t="s">
        <v>168</v>
      </c>
      <c r="D264" s="6" t="s">
        <v>1290</v>
      </c>
      <c r="E264" s="6" t="s">
        <v>95</v>
      </c>
      <c r="F264" s="6" t="s">
        <v>1264</v>
      </c>
      <c r="G264" s="6" t="s">
        <v>1276</v>
      </c>
      <c r="H264" s="7" t="n">
        <v>22000</v>
      </c>
      <c r="I264" s="8" t="n">
        <v>10</v>
      </c>
      <c r="J264" s="9" t="n">
        <v>22.82</v>
      </c>
      <c r="K264" s="8" t="s">
        <v>35</v>
      </c>
      <c r="L264" s="10" t="s">
        <v>98</v>
      </c>
      <c r="M264" s="10" t="s">
        <v>409</v>
      </c>
      <c r="N264" s="10" t="s">
        <v>1266</v>
      </c>
      <c r="O264" s="8" t="str">
        <f aca="false">IF(M264="prescription","Yes","No")</f>
        <v>Yes</v>
      </c>
      <c r="P264" s="6"/>
      <c r="Q264" s="6" t="s">
        <v>1316</v>
      </c>
    </row>
    <row r="265" customFormat="false" ht="15" hidden="false" customHeight="false" outlineLevel="0" collapsed="false">
      <c r="A265" s="6" t="s">
        <v>1317</v>
      </c>
      <c r="B265" s="6" t="s">
        <v>1318</v>
      </c>
      <c r="C265" s="6" t="s">
        <v>1319</v>
      </c>
      <c r="D265" s="6" t="s">
        <v>1320</v>
      </c>
      <c r="E265" s="6" t="s">
        <v>106</v>
      </c>
      <c r="F265" s="6" t="s">
        <v>1264</v>
      </c>
      <c r="G265" s="6" t="s">
        <v>1307</v>
      </c>
      <c r="H265" s="7" t="n">
        <v>240</v>
      </c>
      <c r="I265" s="8" t="n">
        <v>30</v>
      </c>
      <c r="J265" s="9" t="n">
        <v>423.65</v>
      </c>
      <c r="K265" s="8" t="s">
        <v>35</v>
      </c>
      <c r="L265" s="10" t="s">
        <v>98</v>
      </c>
      <c r="M265" s="10" t="s">
        <v>409</v>
      </c>
      <c r="N265" s="10" t="s">
        <v>1266</v>
      </c>
      <c r="O265" s="8" t="str">
        <f aca="false">IF(M265="prescription","Yes","No")</f>
        <v>Yes</v>
      </c>
      <c r="P265" s="6"/>
      <c r="Q265" s="6" t="s">
        <v>1321</v>
      </c>
    </row>
    <row r="266" customFormat="false" ht="15" hidden="false" customHeight="false" outlineLevel="0" collapsed="false">
      <c r="A266" s="6" t="s">
        <v>1322</v>
      </c>
      <c r="B266" s="6" t="s">
        <v>1323</v>
      </c>
      <c r="C266" s="6" t="s">
        <v>709</v>
      </c>
      <c r="D266" s="6" t="s">
        <v>1324</v>
      </c>
      <c r="E266" s="6" t="s">
        <v>95</v>
      </c>
      <c r="F266" s="6" t="s">
        <v>1264</v>
      </c>
      <c r="G266" s="6" t="s">
        <v>1285</v>
      </c>
      <c r="H266" s="7" t="n">
        <v>0</v>
      </c>
      <c r="I266" s="8" t="n">
        <v>30</v>
      </c>
      <c r="J266" s="9" t="n">
        <v>236.55</v>
      </c>
      <c r="K266" s="8" t="s">
        <v>87</v>
      </c>
      <c r="L266" s="10" t="s">
        <v>98</v>
      </c>
      <c r="M266" s="10" t="s">
        <v>409</v>
      </c>
      <c r="N266" s="10" t="s">
        <v>1266</v>
      </c>
      <c r="O266" s="8" t="str">
        <f aca="false">IF(M266="prescription","Yes","No")</f>
        <v>Yes</v>
      </c>
      <c r="P266" s="6" t="s">
        <v>89</v>
      </c>
      <c r="Q266" s="6" t="s">
        <v>1325</v>
      </c>
    </row>
    <row r="267" customFormat="false" ht="15" hidden="false" customHeight="false" outlineLevel="0" collapsed="false">
      <c r="A267" s="6" t="s">
        <v>1326</v>
      </c>
      <c r="B267" s="6" t="s">
        <v>1327</v>
      </c>
      <c r="C267" s="6" t="s">
        <v>1242</v>
      </c>
      <c r="D267" s="6" t="s">
        <v>1328</v>
      </c>
      <c r="E267" s="6" t="s">
        <v>95</v>
      </c>
      <c r="F267" s="6" t="s">
        <v>1264</v>
      </c>
      <c r="G267" s="6" t="s">
        <v>1271</v>
      </c>
      <c r="H267" s="7" t="n">
        <v>130</v>
      </c>
      <c r="I267" s="8" t="n">
        <v>20</v>
      </c>
      <c r="J267" s="9" t="n">
        <v>87.82</v>
      </c>
      <c r="K267" s="8" t="s">
        <v>35</v>
      </c>
      <c r="L267" s="10" t="s">
        <v>98</v>
      </c>
      <c r="M267" s="10" t="s">
        <v>409</v>
      </c>
      <c r="N267" s="10" t="s">
        <v>1266</v>
      </c>
      <c r="O267" s="8" t="str">
        <f aca="false">IF(M267="prescription","Yes","No")</f>
        <v>Yes</v>
      </c>
      <c r="P267" s="6"/>
      <c r="Q267" s="6" t="s">
        <v>1329</v>
      </c>
    </row>
    <row r="268" customFormat="false" ht="15" hidden="false" customHeight="false" outlineLevel="0" collapsed="false">
      <c r="A268" s="6" t="s">
        <v>1330</v>
      </c>
      <c r="B268" s="6" t="s">
        <v>1331</v>
      </c>
      <c r="C268" s="6" t="s">
        <v>1242</v>
      </c>
      <c r="D268" s="6" t="s">
        <v>1332</v>
      </c>
      <c r="E268" s="6" t="s">
        <v>95</v>
      </c>
      <c r="F268" s="6" t="s">
        <v>1264</v>
      </c>
      <c r="G268" s="6" t="s">
        <v>1271</v>
      </c>
      <c r="H268" s="7" t="n">
        <v>456</v>
      </c>
      <c r="I268" s="8" t="n">
        <v>20</v>
      </c>
      <c r="J268" s="9" t="n">
        <v>96.39</v>
      </c>
      <c r="K268" s="8" t="s">
        <v>35</v>
      </c>
      <c r="L268" s="10" t="s">
        <v>98</v>
      </c>
      <c r="M268" s="10" t="s">
        <v>409</v>
      </c>
      <c r="N268" s="10" t="s">
        <v>1266</v>
      </c>
      <c r="O268" s="8" t="str">
        <f aca="false">IF(M268="prescription","Yes","No")</f>
        <v>Yes</v>
      </c>
      <c r="P268" s="6"/>
      <c r="Q268" s="6" t="s">
        <v>1333</v>
      </c>
    </row>
    <row r="269" customFormat="false" ht="15" hidden="false" customHeight="false" outlineLevel="0" collapsed="false">
      <c r="A269" s="6" t="s">
        <v>1334</v>
      </c>
      <c r="B269" s="6" t="s">
        <v>1335</v>
      </c>
      <c r="C269" s="6" t="s">
        <v>1336</v>
      </c>
      <c r="D269" s="6" t="s">
        <v>1337</v>
      </c>
      <c r="E269" s="6" t="s">
        <v>407</v>
      </c>
      <c r="F269" s="6" t="s">
        <v>1338</v>
      </c>
      <c r="G269" s="6" t="s">
        <v>1339</v>
      </c>
      <c r="H269" s="7" t="n">
        <v>1</v>
      </c>
      <c r="I269" s="8" t="n">
        <v>1</v>
      </c>
      <c r="J269" s="9" t="n">
        <v>1120</v>
      </c>
      <c r="K269" s="8" t="s">
        <v>35</v>
      </c>
      <c r="L269" s="10" t="s">
        <v>98</v>
      </c>
      <c r="M269" s="10" t="s">
        <v>409</v>
      </c>
      <c r="N269" s="10" t="s">
        <v>1340</v>
      </c>
      <c r="O269" s="8" t="str">
        <f aca="false">IF(M269="prescription","Yes","No")</f>
        <v>Yes</v>
      </c>
      <c r="P269" s="6"/>
      <c r="Q269" s="6" t="s">
        <v>1341</v>
      </c>
    </row>
    <row r="270" customFormat="false" ht="15" hidden="false" customHeight="false" outlineLevel="0" collapsed="false">
      <c r="A270" s="6" t="s">
        <v>1342</v>
      </c>
      <c r="B270" s="6" t="s">
        <v>1343</v>
      </c>
      <c r="C270" s="6" t="s">
        <v>93</v>
      </c>
      <c r="D270" s="6" t="s">
        <v>1344</v>
      </c>
      <c r="E270" s="6" t="s">
        <v>375</v>
      </c>
      <c r="F270" s="6" t="s">
        <v>1345</v>
      </c>
      <c r="G270" s="6" t="s">
        <v>1346</v>
      </c>
      <c r="H270" s="7" t="n">
        <v>486</v>
      </c>
      <c r="I270" s="8" t="n">
        <v>1</v>
      </c>
      <c r="J270" s="9" t="n">
        <v>12.67</v>
      </c>
      <c r="K270" s="8" t="s">
        <v>35</v>
      </c>
      <c r="L270" s="10" t="s">
        <v>98</v>
      </c>
      <c r="M270" s="10" t="s">
        <v>409</v>
      </c>
      <c r="N270" s="10" t="s">
        <v>1347</v>
      </c>
      <c r="O270" s="8" t="str">
        <f aca="false">IF(M270="prescription","Yes","No")</f>
        <v>Yes</v>
      </c>
      <c r="P270" s="6"/>
      <c r="Q270" s="6" t="s">
        <v>1348</v>
      </c>
    </row>
    <row r="271" customFormat="false" ht="15" hidden="false" customHeight="false" outlineLevel="0" collapsed="false">
      <c r="A271" s="6" t="s">
        <v>1349</v>
      </c>
      <c r="B271" s="6" t="s">
        <v>1350</v>
      </c>
      <c r="C271" s="6" t="s">
        <v>1351</v>
      </c>
      <c r="D271" s="6" t="s">
        <v>1352</v>
      </c>
      <c r="E271" s="6" t="s">
        <v>375</v>
      </c>
      <c r="F271" s="6" t="s">
        <v>1345</v>
      </c>
      <c r="G271" s="6" t="s">
        <v>1346</v>
      </c>
      <c r="H271" s="7" t="n">
        <v>8</v>
      </c>
      <c r="I271" s="8" t="n">
        <v>1</v>
      </c>
      <c r="J271" s="9" t="n">
        <v>261.33</v>
      </c>
      <c r="K271" s="8" t="s">
        <v>35</v>
      </c>
      <c r="L271" s="10" t="s">
        <v>98</v>
      </c>
      <c r="M271" s="10" t="s">
        <v>409</v>
      </c>
      <c r="N271" s="10" t="s">
        <v>1347</v>
      </c>
      <c r="O271" s="8" t="str">
        <f aca="false">IF(M271="prescription","Yes","No")</f>
        <v>Yes</v>
      </c>
      <c r="P271" s="6"/>
      <c r="Q271" s="6" t="s">
        <v>1353</v>
      </c>
    </row>
    <row r="272" customFormat="false" ht="15" hidden="false" customHeight="false" outlineLevel="0" collapsed="false">
      <c r="A272" s="6" t="s">
        <v>1354</v>
      </c>
      <c r="B272" s="6" t="s">
        <v>1355</v>
      </c>
      <c r="C272" s="6" t="s">
        <v>569</v>
      </c>
      <c r="D272" s="6" t="s">
        <v>1356</v>
      </c>
      <c r="E272" s="6" t="s">
        <v>375</v>
      </c>
      <c r="F272" s="6" t="s">
        <v>1357</v>
      </c>
      <c r="G272" s="6" t="s">
        <v>1358</v>
      </c>
      <c r="H272" s="7" t="n">
        <v>8</v>
      </c>
      <c r="I272" s="8" t="n">
        <v>1</v>
      </c>
      <c r="J272" s="9" t="n">
        <v>213.34</v>
      </c>
      <c r="K272" s="8" t="s">
        <v>35</v>
      </c>
      <c r="L272" s="10" t="s">
        <v>98</v>
      </c>
      <c r="M272" s="10" t="s">
        <v>409</v>
      </c>
      <c r="N272" s="10" t="s">
        <v>1347</v>
      </c>
      <c r="O272" s="8" t="str">
        <f aca="false">IF(M272="prescription","Yes","No")</f>
        <v>Yes</v>
      </c>
      <c r="P272" s="6" t="s">
        <v>1359</v>
      </c>
      <c r="Q272" s="6" t="s">
        <v>1360</v>
      </c>
    </row>
    <row r="273" customFormat="false" ht="15" hidden="false" customHeight="false" outlineLevel="0" collapsed="false">
      <c r="A273" s="6" t="s">
        <v>1361</v>
      </c>
      <c r="B273" s="6" t="s">
        <v>1362</v>
      </c>
      <c r="C273" s="6" t="s">
        <v>1363</v>
      </c>
      <c r="D273" s="6" t="s">
        <v>1364</v>
      </c>
      <c r="E273" s="6" t="s">
        <v>95</v>
      </c>
      <c r="F273" s="6" t="s">
        <v>1365</v>
      </c>
      <c r="G273" s="6" t="s">
        <v>1366</v>
      </c>
      <c r="H273" s="7" t="n">
        <v>300</v>
      </c>
      <c r="I273" s="8" t="n">
        <v>30</v>
      </c>
      <c r="J273" s="9" t="n">
        <v>253.35</v>
      </c>
      <c r="K273" s="8" t="s">
        <v>35</v>
      </c>
      <c r="L273" s="10" t="s">
        <v>98</v>
      </c>
      <c r="M273" s="10" t="s">
        <v>409</v>
      </c>
      <c r="N273" s="10" t="s">
        <v>1367</v>
      </c>
      <c r="O273" s="8" t="str">
        <f aca="false">IF(M273="prescription","Yes","No")</f>
        <v>Yes</v>
      </c>
      <c r="P273" s="6"/>
      <c r="Q273" s="6" t="s">
        <v>1368</v>
      </c>
    </row>
    <row r="274" customFormat="false" ht="15" hidden="false" customHeight="false" outlineLevel="0" collapsed="false">
      <c r="A274" s="6" t="s">
        <v>1369</v>
      </c>
      <c r="B274" s="6" t="s">
        <v>1370</v>
      </c>
      <c r="C274" s="6" t="s">
        <v>952</v>
      </c>
      <c r="D274" s="6" t="s">
        <v>1371</v>
      </c>
      <c r="E274" s="6" t="s">
        <v>95</v>
      </c>
      <c r="F274" s="6" t="s">
        <v>1365</v>
      </c>
      <c r="G274" s="6" t="s">
        <v>1372</v>
      </c>
      <c r="H274" s="7" t="n">
        <v>9730</v>
      </c>
      <c r="I274" s="8" t="n">
        <v>10</v>
      </c>
      <c r="J274" s="9" t="n">
        <v>9.97</v>
      </c>
      <c r="K274" s="8" t="s">
        <v>35</v>
      </c>
      <c r="L274" s="10" t="s">
        <v>98</v>
      </c>
      <c r="M274" s="10" t="s">
        <v>409</v>
      </c>
      <c r="N274" s="10" t="s">
        <v>1367</v>
      </c>
      <c r="O274" s="8" t="str">
        <f aca="false">IF(M274="prescription","Yes","No")</f>
        <v>Yes</v>
      </c>
      <c r="P274" s="6"/>
      <c r="Q274" s="6" t="s">
        <v>1373</v>
      </c>
    </row>
    <row r="275" customFormat="false" ht="15" hidden="false" customHeight="false" outlineLevel="0" collapsed="false">
      <c r="A275" s="6" t="s">
        <v>1374</v>
      </c>
      <c r="B275" s="6" t="s">
        <v>1375</v>
      </c>
      <c r="C275" s="6" t="s">
        <v>1376</v>
      </c>
      <c r="D275" s="6" t="s">
        <v>1377</v>
      </c>
      <c r="E275" s="6" t="s">
        <v>407</v>
      </c>
      <c r="F275" s="6" t="s">
        <v>1378</v>
      </c>
      <c r="G275" s="6" t="s">
        <v>1379</v>
      </c>
      <c r="H275" s="7" t="n">
        <v>91</v>
      </c>
      <c r="I275" s="8" t="n">
        <v>1</v>
      </c>
      <c r="J275" s="9" t="n">
        <v>141.97</v>
      </c>
      <c r="K275" s="8" t="s">
        <v>35</v>
      </c>
      <c r="L275" s="10" t="s">
        <v>98</v>
      </c>
      <c r="M275" s="10" t="s">
        <v>409</v>
      </c>
      <c r="N275" s="10" t="s">
        <v>1367</v>
      </c>
      <c r="O275" s="8" t="str">
        <f aca="false">IF(M275="prescription","Yes","No")</f>
        <v>Yes</v>
      </c>
      <c r="P275" s="6"/>
      <c r="Q275" s="6" t="s">
        <v>1380</v>
      </c>
    </row>
    <row r="276" customFormat="false" ht="15" hidden="false" customHeight="false" outlineLevel="0" collapsed="false">
      <c r="A276" s="6" t="s">
        <v>1381</v>
      </c>
      <c r="B276" s="6" t="s">
        <v>1382</v>
      </c>
      <c r="C276" s="6" t="s">
        <v>1376</v>
      </c>
      <c r="D276" s="6" t="s">
        <v>1383</v>
      </c>
      <c r="E276" s="6" t="s">
        <v>407</v>
      </c>
      <c r="F276" s="6" t="s">
        <v>1378</v>
      </c>
      <c r="G276" s="6" t="s">
        <v>1379</v>
      </c>
      <c r="H276" s="7" t="n">
        <v>142</v>
      </c>
      <c r="I276" s="8" t="n">
        <v>1</v>
      </c>
      <c r="J276" s="9" t="n">
        <v>141.97</v>
      </c>
      <c r="K276" s="8" t="s">
        <v>35</v>
      </c>
      <c r="L276" s="10" t="s">
        <v>98</v>
      </c>
      <c r="M276" s="10" t="s">
        <v>409</v>
      </c>
      <c r="N276" s="10" t="s">
        <v>1367</v>
      </c>
      <c r="O276" s="8" t="str">
        <f aca="false">IF(M276="prescription","Yes","No")</f>
        <v>Yes</v>
      </c>
      <c r="P276" s="6"/>
      <c r="Q276" s="6" t="s">
        <v>1384</v>
      </c>
    </row>
    <row r="277" customFormat="false" ht="15" hidden="false" customHeight="false" outlineLevel="0" collapsed="false">
      <c r="A277" s="6" t="s">
        <v>1385</v>
      </c>
      <c r="B277" s="6" t="s">
        <v>1386</v>
      </c>
      <c r="C277" s="6" t="s">
        <v>709</v>
      </c>
      <c r="D277" s="6" t="s">
        <v>1387</v>
      </c>
      <c r="E277" s="6" t="s">
        <v>95</v>
      </c>
      <c r="F277" s="6" t="s">
        <v>1365</v>
      </c>
      <c r="G277" s="6" t="s">
        <v>1366</v>
      </c>
      <c r="H277" s="7" t="n">
        <v>9422</v>
      </c>
      <c r="I277" s="8" t="n">
        <v>30</v>
      </c>
      <c r="J277" s="9" t="n">
        <v>269.43</v>
      </c>
      <c r="K277" s="8" t="s">
        <v>35</v>
      </c>
      <c r="L277" s="10" t="s">
        <v>98</v>
      </c>
      <c r="M277" s="10" t="s">
        <v>409</v>
      </c>
      <c r="N277" s="10" t="s">
        <v>1367</v>
      </c>
      <c r="O277" s="8" t="str">
        <f aca="false">IF(M277="prescription","Yes","No")</f>
        <v>Yes</v>
      </c>
      <c r="P277" s="6"/>
      <c r="Q277" s="6" t="s">
        <v>1388</v>
      </c>
    </row>
    <row r="278" customFormat="false" ht="15" hidden="false" customHeight="false" outlineLevel="0" collapsed="false">
      <c r="A278" s="6" t="s">
        <v>1389</v>
      </c>
      <c r="B278" s="6" t="s">
        <v>1390</v>
      </c>
      <c r="C278" s="6" t="s">
        <v>1391</v>
      </c>
      <c r="D278" s="6" t="s">
        <v>1392</v>
      </c>
      <c r="E278" s="6" t="s">
        <v>95</v>
      </c>
      <c r="F278" s="6" t="s">
        <v>1365</v>
      </c>
      <c r="G278" s="6" t="s">
        <v>1372</v>
      </c>
      <c r="H278" s="7" t="n">
        <v>330</v>
      </c>
      <c r="I278" s="8" t="n">
        <v>30</v>
      </c>
      <c r="J278" s="9" t="n">
        <v>185.77</v>
      </c>
      <c r="K278" s="8" t="s">
        <v>35</v>
      </c>
      <c r="L278" s="10" t="s">
        <v>98</v>
      </c>
      <c r="M278" s="10" t="s">
        <v>409</v>
      </c>
      <c r="N278" s="10" t="s">
        <v>1367</v>
      </c>
      <c r="O278" s="8" t="str">
        <f aca="false">IF(M278="prescription","Yes","No")</f>
        <v>Yes</v>
      </c>
      <c r="P278" s="6"/>
      <c r="Q278" s="6" t="s">
        <v>1393</v>
      </c>
    </row>
    <row r="279" customFormat="false" ht="15" hidden="false" customHeight="false" outlineLevel="0" collapsed="false">
      <c r="A279" s="6" t="s">
        <v>1394</v>
      </c>
      <c r="B279" s="6" t="s">
        <v>1395</v>
      </c>
      <c r="C279" s="6" t="s">
        <v>1391</v>
      </c>
      <c r="D279" s="6" t="s">
        <v>1396</v>
      </c>
      <c r="E279" s="6" t="s">
        <v>95</v>
      </c>
      <c r="F279" s="6" t="s">
        <v>1365</v>
      </c>
      <c r="G279" s="6" t="s">
        <v>1372</v>
      </c>
      <c r="H279" s="7" t="n">
        <v>30</v>
      </c>
      <c r="I279" s="8" t="n">
        <v>30</v>
      </c>
      <c r="J279" s="9" t="n">
        <v>168.54</v>
      </c>
      <c r="K279" s="8" t="s">
        <v>35</v>
      </c>
      <c r="L279" s="10" t="s">
        <v>98</v>
      </c>
      <c r="M279" s="10" t="s">
        <v>409</v>
      </c>
      <c r="N279" s="10" t="s">
        <v>1367</v>
      </c>
      <c r="O279" s="8" t="str">
        <f aca="false">IF(M279="prescription","Yes","No")</f>
        <v>Yes</v>
      </c>
      <c r="P279" s="6"/>
      <c r="Q279" s="6" t="s">
        <v>1397</v>
      </c>
    </row>
    <row r="280" customFormat="false" ht="15" hidden="false" customHeight="false" outlineLevel="0" collapsed="false">
      <c r="A280" s="6" t="s">
        <v>1398</v>
      </c>
      <c r="B280" s="6" t="s">
        <v>1399</v>
      </c>
      <c r="C280" s="6" t="s">
        <v>1391</v>
      </c>
      <c r="D280" s="6" t="s">
        <v>1400</v>
      </c>
      <c r="E280" s="6" t="s">
        <v>95</v>
      </c>
      <c r="F280" s="6" t="s">
        <v>1365</v>
      </c>
      <c r="G280" s="6" t="s">
        <v>1372</v>
      </c>
      <c r="H280" s="7" t="n">
        <v>600</v>
      </c>
      <c r="I280" s="8" t="n">
        <v>30</v>
      </c>
      <c r="J280" s="9" t="n">
        <v>186.81</v>
      </c>
      <c r="K280" s="8" t="s">
        <v>35</v>
      </c>
      <c r="L280" s="10" t="s">
        <v>98</v>
      </c>
      <c r="M280" s="10" t="s">
        <v>409</v>
      </c>
      <c r="N280" s="10" t="s">
        <v>1367</v>
      </c>
      <c r="O280" s="8" t="str">
        <f aca="false">IF(M280="prescription","Yes","No")</f>
        <v>Yes</v>
      </c>
      <c r="P280" s="6"/>
      <c r="Q280" s="6" t="s">
        <v>1401</v>
      </c>
    </row>
    <row r="281" customFormat="false" ht="15" hidden="false" customHeight="false" outlineLevel="0" collapsed="false">
      <c r="A281" s="6" t="s">
        <v>1402</v>
      </c>
      <c r="B281" s="6" t="s">
        <v>1403</v>
      </c>
      <c r="C281" s="6" t="s">
        <v>179</v>
      </c>
      <c r="D281" s="6" t="s">
        <v>1404</v>
      </c>
      <c r="E281" s="6" t="s">
        <v>95</v>
      </c>
      <c r="F281" s="6" t="s">
        <v>1365</v>
      </c>
      <c r="G281" s="6" t="s">
        <v>1366</v>
      </c>
      <c r="H281" s="7" t="n">
        <v>28750</v>
      </c>
      <c r="I281" s="8" t="n">
        <v>10</v>
      </c>
      <c r="J281" s="9" t="n">
        <v>18.68</v>
      </c>
      <c r="K281" s="8" t="s">
        <v>35</v>
      </c>
      <c r="L281" s="10" t="s">
        <v>98</v>
      </c>
      <c r="M281" s="10" t="s">
        <v>409</v>
      </c>
      <c r="N281" s="10" t="s">
        <v>1367</v>
      </c>
      <c r="O281" s="8" t="str">
        <f aca="false">IF(M281="prescription","Yes","No")</f>
        <v>Yes</v>
      </c>
      <c r="P281" s="6"/>
      <c r="Q281" s="6" t="s">
        <v>1405</v>
      </c>
    </row>
    <row r="282" customFormat="false" ht="15" hidden="false" customHeight="false" outlineLevel="0" collapsed="false">
      <c r="A282" s="6" t="s">
        <v>1406</v>
      </c>
      <c r="B282" s="6" t="s">
        <v>1407</v>
      </c>
      <c r="C282" s="6" t="s">
        <v>1029</v>
      </c>
      <c r="D282" s="6" t="s">
        <v>1408</v>
      </c>
      <c r="E282" s="6" t="s">
        <v>95</v>
      </c>
      <c r="F282" s="6" t="s">
        <v>1365</v>
      </c>
      <c r="G282" s="6" t="s">
        <v>1366</v>
      </c>
      <c r="H282" s="7" t="n">
        <v>70</v>
      </c>
      <c r="I282" s="8" t="n">
        <v>14</v>
      </c>
      <c r="J282" s="9" t="n">
        <v>220</v>
      </c>
      <c r="K282" s="8" t="s">
        <v>35</v>
      </c>
      <c r="L282" s="10" t="s">
        <v>98</v>
      </c>
      <c r="M282" s="10" t="s">
        <v>409</v>
      </c>
      <c r="N282" s="10" t="s">
        <v>1367</v>
      </c>
      <c r="O282" s="8" t="str">
        <f aca="false">IF(M282="prescription","Yes","No")</f>
        <v>Yes</v>
      </c>
      <c r="P282" s="6"/>
      <c r="Q282" s="6" t="s">
        <v>1409</v>
      </c>
    </row>
    <row r="283" customFormat="false" ht="15" hidden="false" customHeight="false" outlineLevel="0" collapsed="false">
      <c r="A283" s="6" t="s">
        <v>1410</v>
      </c>
      <c r="B283" s="6" t="s">
        <v>1411</v>
      </c>
      <c r="C283" s="6" t="s">
        <v>1412</v>
      </c>
      <c r="D283" s="6" t="s">
        <v>1413</v>
      </c>
      <c r="E283" s="6" t="s">
        <v>95</v>
      </c>
      <c r="F283" s="6" t="s">
        <v>1365</v>
      </c>
      <c r="G283" s="6" t="s">
        <v>1366</v>
      </c>
      <c r="H283" s="7" t="n">
        <v>20210</v>
      </c>
      <c r="I283" s="8" t="n">
        <v>10</v>
      </c>
      <c r="J283" s="9" t="n">
        <v>1.8</v>
      </c>
      <c r="K283" s="8" t="s">
        <v>35</v>
      </c>
      <c r="L283" s="10" t="s">
        <v>98</v>
      </c>
      <c r="M283" s="10" t="s">
        <v>409</v>
      </c>
      <c r="N283" s="10" t="s">
        <v>1367</v>
      </c>
      <c r="O283" s="8" t="str">
        <f aca="false">IF(M283="prescription","Yes","No")</f>
        <v>Yes</v>
      </c>
      <c r="P283" s="6"/>
      <c r="Q283" s="6" t="s">
        <v>1414</v>
      </c>
    </row>
    <row r="284" customFormat="false" ht="15" hidden="false" customHeight="false" outlineLevel="0" collapsed="false">
      <c r="A284" s="6" t="s">
        <v>1415</v>
      </c>
      <c r="B284" s="6" t="s">
        <v>1416</v>
      </c>
      <c r="C284" s="6" t="s">
        <v>489</v>
      </c>
      <c r="D284" s="6" t="s">
        <v>1417</v>
      </c>
      <c r="E284" s="6" t="s">
        <v>95</v>
      </c>
      <c r="F284" s="6" t="s">
        <v>1365</v>
      </c>
      <c r="G284" s="6" t="s">
        <v>1366</v>
      </c>
      <c r="H284" s="7" t="n">
        <v>1100</v>
      </c>
      <c r="I284" s="8" t="n">
        <v>10</v>
      </c>
      <c r="J284" s="9" t="n">
        <v>23.21</v>
      </c>
      <c r="K284" s="8" t="s">
        <v>35</v>
      </c>
      <c r="L284" s="10" t="s">
        <v>98</v>
      </c>
      <c r="M284" s="10" t="s">
        <v>409</v>
      </c>
      <c r="N284" s="10" t="s">
        <v>1367</v>
      </c>
      <c r="O284" s="8" t="str">
        <f aca="false">IF(M284="prescription","Yes","No")</f>
        <v>Yes</v>
      </c>
      <c r="P284" s="6"/>
      <c r="Q284" s="6" t="s">
        <v>1418</v>
      </c>
    </row>
    <row r="285" customFormat="false" ht="15" hidden="false" customHeight="false" outlineLevel="0" collapsed="false">
      <c r="A285" s="6" t="s">
        <v>1419</v>
      </c>
      <c r="B285" s="6" t="s">
        <v>1420</v>
      </c>
      <c r="C285" s="6" t="s">
        <v>1421</v>
      </c>
      <c r="D285" s="6" t="s">
        <v>1422</v>
      </c>
      <c r="E285" s="6" t="s">
        <v>95</v>
      </c>
      <c r="F285" s="6" t="s">
        <v>1365</v>
      </c>
      <c r="G285" s="6" t="s">
        <v>1366</v>
      </c>
      <c r="H285" s="7" t="n">
        <v>18630</v>
      </c>
      <c r="I285" s="8" t="n">
        <v>10</v>
      </c>
      <c r="J285" s="9" t="n">
        <v>39.43</v>
      </c>
      <c r="K285" s="8" t="s">
        <v>35</v>
      </c>
      <c r="L285" s="10" t="s">
        <v>98</v>
      </c>
      <c r="M285" s="10" t="s">
        <v>409</v>
      </c>
      <c r="N285" s="10" t="s">
        <v>1367</v>
      </c>
      <c r="O285" s="8" t="str">
        <f aca="false">IF(M285="prescription","Yes","No")</f>
        <v>Yes</v>
      </c>
      <c r="P285" s="6"/>
      <c r="Q285" s="6" t="s">
        <v>1423</v>
      </c>
    </row>
    <row r="286" customFormat="false" ht="15" hidden="false" customHeight="false" outlineLevel="0" collapsed="false">
      <c r="A286" s="6" t="s">
        <v>1424</v>
      </c>
      <c r="B286" s="6" t="s">
        <v>1425</v>
      </c>
      <c r="C286" s="6" t="s">
        <v>257</v>
      </c>
      <c r="D286" s="6" t="s">
        <v>1426</v>
      </c>
      <c r="E286" s="6" t="s">
        <v>95</v>
      </c>
      <c r="F286" s="6" t="s">
        <v>1365</v>
      </c>
      <c r="G286" s="6" t="s">
        <v>1366</v>
      </c>
      <c r="H286" s="7" t="n">
        <v>1066</v>
      </c>
      <c r="I286" s="8" t="n">
        <v>10</v>
      </c>
      <c r="J286" s="9" t="n">
        <v>43.89</v>
      </c>
      <c r="K286" s="8" t="s">
        <v>35</v>
      </c>
      <c r="L286" s="10" t="s">
        <v>98</v>
      </c>
      <c r="M286" s="10" t="s">
        <v>409</v>
      </c>
      <c r="N286" s="10" t="s">
        <v>1367</v>
      </c>
      <c r="O286" s="8" t="str">
        <f aca="false">IF(M286="prescription","Yes","No")</f>
        <v>Yes</v>
      </c>
      <c r="P286" s="6"/>
      <c r="Q286" s="6" t="s">
        <v>1427</v>
      </c>
    </row>
    <row r="287" customFormat="false" ht="15" hidden="false" customHeight="false" outlineLevel="0" collapsed="false">
      <c r="A287" s="6" t="s">
        <v>1428</v>
      </c>
      <c r="B287" s="6" t="s">
        <v>1429</v>
      </c>
      <c r="C287" s="6" t="s">
        <v>257</v>
      </c>
      <c r="D287" s="6" t="s">
        <v>1417</v>
      </c>
      <c r="E287" s="6" t="s">
        <v>95</v>
      </c>
      <c r="F287" s="6" t="s">
        <v>1365</v>
      </c>
      <c r="G287" s="6" t="s">
        <v>1366</v>
      </c>
      <c r="H287" s="7" t="n">
        <v>230</v>
      </c>
      <c r="I287" s="8" t="n">
        <v>10</v>
      </c>
      <c r="J287" s="9" t="n">
        <v>39.43</v>
      </c>
      <c r="K287" s="8" t="s">
        <v>35</v>
      </c>
      <c r="L287" s="10" t="s">
        <v>98</v>
      </c>
      <c r="M287" s="10" t="s">
        <v>409</v>
      </c>
      <c r="N287" s="10" t="s">
        <v>1367</v>
      </c>
      <c r="O287" s="8" t="str">
        <f aca="false">IF(M287="prescription","Yes","No")</f>
        <v>Yes</v>
      </c>
      <c r="P287" s="6"/>
      <c r="Q287" s="6" t="s">
        <v>1430</v>
      </c>
    </row>
    <row r="288" customFormat="false" ht="15" hidden="false" customHeight="false" outlineLevel="0" collapsed="false">
      <c r="A288" s="6" t="s">
        <v>1431</v>
      </c>
      <c r="B288" s="6" t="s">
        <v>1432</v>
      </c>
      <c r="C288" s="6" t="s">
        <v>543</v>
      </c>
      <c r="D288" s="6" t="s">
        <v>1422</v>
      </c>
      <c r="E288" s="6" t="s">
        <v>95</v>
      </c>
      <c r="F288" s="6" t="s">
        <v>1365</v>
      </c>
      <c r="G288" s="6" t="s">
        <v>1366</v>
      </c>
      <c r="H288" s="7" t="n">
        <v>830</v>
      </c>
      <c r="I288" s="8" t="n">
        <v>10</v>
      </c>
      <c r="J288" s="9" t="n">
        <v>72.59</v>
      </c>
      <c r="K288" s="8" t="s">
        <v>35</v>
      </c>
      <c r="L288" s="10" t="s">
        <v>98</v>
      </c>
      <c r="M288" s="10" t="s">
        <v>409</v>
      </c>
      <c r="N288" s="10" t="s">
        <v>1367</v>
      </c>
      <c r="O288" s="8" t="str">
        <f aca="false">IF(M288="prescription","Yes","No")</f>
        <v>Yes</v>
      </c>
      <c r="P288" s="6"/>
      <c r="Q288" s="6" t="s">
        <v>1433</v>
      </c>
    </row>
    <row r="289" customFormat="false" ht="15" hidden="false" customHeight="false" outlineLevel="0" collapsed="false">
      <c r="A289" s="6" t="s">
        <v>1434</v>
      </c>
      <c r="B289" s="6" t="s">
        <v>1435</v>
      </c>
      <c r="C289" s="6" t="s">
        <v>1436</v>
      </c>
      <c r="D289" s="6" t="s">
        <v>1437</v>
      </c>
      <c r="E289" s="6" t="s">
        <v>407</v>
      </c>
      <c r="F289" s="6" t="s">
        <v>1378</v>
      </c>
      <c r="G289" s="6" t="s">
        <v>1379</v>
      </c>
      <c r="H289" s="7" t="n">
        <v>4</v>
      </c>
      <c r="I289" s="8" t="n">
        <v>1</v>
      </c>
      <c r="J289" s="9" t="n">
        <v>398.71</v>
      </c>
      <c r="K289" s="8" t="s">
        <v>35</v>
      </c>
      <c r="L289" s="10" t="s">
        <v>98</v>
      </c>
      <c r="M289" s="10" t="s">
        <v>409</v>
      </c>
      <c r="N289" s="10" t="s">
        <v>1367</v>
      </c>
      <c r="O289" s="8" t="str">
        <f aca="false">IF(M289="prescription","Yes","No")</f>
        <v>Yes</v>
      </c>
      <c r="P289" s="6"/>
      <c r="Q289" s="6" t="s">
        <v>1438</v>
      </c>
    </row>
    <row r="290" customFormat="false" ht="15" hidden="false" customHeight="false" outlineLevel="0" collapsed="false">
      <c r="A290" s="6" t="s">
        <v>1439</v>
      </c>
      <c r="B290" s="6" t="s">
        <v>1440</v>
      </c>
      <c r="C290" s="6" t="s">
        <v>489</v>
      </c>
      <c r="D290" s="6" t="s">
        <v>1441</v>
      </c>
      <c r="E290" s="6" t="s">
        <v>95</v>
      </c>
      <c r="F290" s="6" t="s">
        <v>1365</v>
      </c>
      <c r="G290" s="6" t="s">
        <v>1366</v>
      </c>
      <c r="H290" s="7" t="n">
        <v>26414</v>
      </c>
      <c r="I290" s="8" t="n">
        <v>10</v>
      </c>
      <c r="J290" s="9" t="n">
        <v>4</v>
      </c>
      <c r="K290" s="8" t="s">
        <v>35</v>
      </c>
      <c r="L290" s="10" t="s">
        <v>98</v>
      </c>
      <c r="M290" s="10" t="s">
        <v>409</v>
      </c>
      <c r="N290" s="10" t="s">
        <v>1367</v>
      </c>
      <c r="O290" s="8" t="str">
        <f aca="false">IF(M290="prescription","Yes","No")</f>
        <v>Yes</v>
      </c>
      <c r="P290" s="6"/>
      <c r="Q290" s="6" t="s">
        <v>1442</v>
      </c>
    </row>
    <row r="291" customFormat="false" ht="15" hidden="false" customHeight="false" outlineLevel="0" collapsed="false">
      <c r="A291" s="6" t="s">
        <v>1443</v>
      </c>
      <c r="B291" s="6" t="s">
        <v>1444</v>
      </c>
      <c r="C291" s="6" t="s">
        <v>1436</v>
      </c>
      <c r="D291" s="6" t="s">
        <v>1383</v>
      </c>
      <c r="E291" s="6" t="s">
        <v>407</v>
      </c>
      <c r="F291" s="6" t="s">
        <v>1378</v>
      </c>
      <c r="G291" s="6" t="s">
        <v>1379</v>
      </c>
      <c r="H291" s="7" t="n">
        <v>7</v>
      </c>
      <c r="I291" s="8" t="n">
        <v>1</v>
      </c>
      <c r="J291" s="9" t="n">
        <v>290.54</v>
      </c>
      <c r="K291" s="8" t="s">
        <v>35</v>
      </c>
      <c r="L291" s="10" t="s">
        <v>98</v>
      </c>
      <c r="M291" s="10" t="s">
        <v>409</v>
      </c>
      <c r="N291" s="10" t="s">
        <v>1367</v>
      </c>
      <c r="O291" s="8" t="str">
        <f aca="false">IF(M291="prescription","Yes","No")</f>
        <v>Yes</v>
      </c>
      <c r="P291" s="6"/>
      <c r="Q291" s="6" t="s">
        <v>1445</v>
      </c>
    </row>
    <row r="292" customFormat="false" ht="15" hidden="false" customHeight="false" outlineLevel="0" collapsed="false">
      <c r="A292" s="6" t="s">
        <v>1446</v>
      </c>
      <c r="B292" s="6" t="s">
        <v>1447</v>
      </c>
      <c r="C292" s="6" t="s">
        <v>199</v>
      </c>
      <c r="D292" s="6" t="s">
        <v>1448</v>
      </c>
      <c r="E292" s="6" t="s">
        <v>95</v>
      </c>
      <c r="F292" s="6" t="s">
        <v>1365</v>
      </c>
      <c r="G292" s="6" t="s">
        <v>1366</v>
      </c>
      <c r="H292" s="7" t="n">
        <v>10</v>
      </c>
      <c r="I292" s="8" t="n">
        <v>30</v>
      </c>
      <c r="J292" s="9" t="n">
        <v>151.07</v>
      </c>
      <c r="K292" s="8" t="s">
        <v>35</v>
      </c>
      <c r="L292" s="10" t="s">
        <v>98</v>
      </c>
      <c r="M292" s="10" t="s">
        <v>409</v>
      </c>
      <c r="N292" s="10" t="s">
        <v>1367</v>
      </c>
      <c r="O292" s="8" t="str">
        <f aca="false">IF(M292="prescription","Yes","No")</f>
        <v>Yes</v>
      </c>
      <c r="P292" s="6"/>
      <c r="Q292" s="6" t="s">
        <v>1449</v>
      </c>
    </row>
    <row r="293" customFormat="false" ht="15" hidden="false" customHeight="false" outlineLevel="0" collapsed="false">
      <c r="A293" s="6" t="s">
        <v>1450</v>
      </c>
      <c r="B293" s="6" t="s">
        <v>1451</v>
      </c>
      <c r="C293" s="6" t="s">
        <v>281</v>
      </c>
      <c r="D293" s="6" t="s">
        <v>1452</v>
      </c>
      <c r="E293" s="6" t="s">
        <v>95</v>
      </c>
      <c r="F293" s="6" t="s">
        <v>1365</v>
      </c>
      <c r="G293" s="6" t="s">
        <v>1366</v>
      </c>
      <c r="H293" s="7" t="n">
        <v>3630</v>
      </c>
      <c r="I293" s="8" t="n">
        <v>30</v>
      </c>
      <c r="J293" s="9" t="n">
        <v>52.37</v>
      </c>
      <c r="K293" s="8" t="s">
        <v>35</v>
      </c>
      <c r="L293" s="10" t="s">
        <v>98</v>
      </c>
      <c r="M293" s="10" t="s">
        <v>409</v>
      </c>
      <c r="N293" s="10" t="s">
        <v>1367</v>
      </c>
      <c r="O293" s="8" t="str">
        <f aca="false">IF(M293="prescription","Yes","No")</f>
        <v>Yes</v>
      </c>
      <c r="P293" s="6"/>
      <c r="Q293" s="6" t="s">
        <v>1453</v>
      </c>
    </row>
    <row r="294" customFormat="false" ht="15" hidden="false" customHeight="false" outlineLevel="0" collapsed="false">
      <c r="A294" s="6" t="s">
        <v>1454</v>
      </c>
      <c r="B294" s="6" t="s">
        <v>1455</v>
      </c>
      <c r="C294" s="6" t="s">
        <v>281</v>
      </c>
      <c r="D294" s="6" t="s">
        <v>1404</v>
      </c>
      <c r="E294" s="6" t="s">
        <v>95</v>
      </c>
      <c r="F294" s="6" t="s">
        <v>1365</v>
      </c>
      <c r="G294" s="6" t="s">
        <v>1366</v>
      </c>
      <c r="H294" s="7" t="n">
        <v>28410</v>
      </c>
      <c r="I294" s="8" t="n">
        <v>30</v>
      </c>
      <c r="J294" s="9" t="n">
        <v>52.95</v>
      </c>
      <c r="K294" s="8" t="s">
        <v>35</v>
      </c>
      <c r="L294" s="10" t="s">
        <v>98</v>
      </c>
      <c r="M294" s="10" t="s">
        <v>409</v>
      </c>
      <c r="N294" s="10" t="s">
        <v>1367</v>
      </c>
      <c r="O294" s="8" t="str">
        <f aca="false">IF(M294="prescription","Yes","No")</f>
        <v>Yes</v>
      </c>
      <c r="P294" s="6"/>
      <c r="Q294" s="6" t="s">
        <v>1456</v>
      </c>
    </row>
    <row r="295" customFormat="false" ht="15" hidden="false" customHeight="false" outlineLevel="0" collapsed="false">
      <c r="A295" s="6" t="s">
        <v>1457</v>
      </c>
      <c r="B295" s="6" t="s">
        <v>1458</v>
      </c>
      <c r="C295" s="6" t="s">
        <v>1336</v>
      </c>
      <c r="D295" s="6" t="s">
        <v>1387</v>
      </c>
      <c r="E295" s="6" t="s">
        <v>95</v>
      </c>
      <c r="F295" s="6" t="s">
        <v>1365</v>
      </c>
      <c r="G295" s="6" t="s">
        <v>1366</v>
      </c>
      <c r="H295" s="7" t="n">
        <v>8000</v>
      </c>
      <c r="I295" s="8" t="n">
        <v>10</v>
      </c>
      <c r="J295" s="9" t="n">
        <v>94.9</v>
      </c>
      <c r="K295" s="8" t="s">
        <v>35</v>
      </c>
      <c r="L295" s="10" t="s">
        <v>98</v>
      </c>
      <c r="M295" s="10" t="s">
        <v>409</v>
      </c>
      <c r="N295" s="10" t="s">
        <v>1367</v>
      </c>
      <c r="O295" s="8" t="str">
        <f aca="false">IF(M295="prescription","Yes","No")</f>
        <v>Yes</v>
      </c>
      <c r="P295" s="6"/>
      <c r="Q295" s="6" t="s">
        <v>1459</v>
      </c>
    </row>
    <row r="296" customFormat="false" ht="15" hidden="false" customHeight="false" outlineLevel="0" collapsed="false">
      <c r="A296" s="6" t="s">
        <v>1460</v>
      </c>
      <c r="B296" s="6" t="s">
        <v>1461</v>
      </c>
      <c r="C296" s="6" t="s">
        <v>1336</v>
      </c>
      <c r="D296" s="6" t="s">
        <v>1462</v>
      </c>
      <c r="E296" s="6" t="s">
        <v>95</v>
      </c>
      <c r="F296" s="6" t="s">
        <v>1365</v>
      </c>
      <c r="G296" s="6" t="s">
        <v>1366</v>
      </c>
      <c r="H296" s="7" t="n">
        <v>2100</v>
      </c>
      <c r="I296" s="8" t="n">
        <v>10</v>
      </c>
      <c r="J296" s="9" t="n">
        <v>102.5</v>
      </c>
      <c r="K296" s="8" t="s">
        <v>35</v>
      </c>
      <c r="L296" s="10" t="s">
        <v>98</v>
      </c>
      <c r="M296" s="10" t="s">
        <v>409</v>
      </c>
      <c r="N296" s="10" t="s">
        <v>1367</v>
      </c>
      <c r="O296" s="8" t="str">
        <f aca="false">IF(M296="prescription","Yes","No")</f>
        <v>Yes</v>
      </c>
      <c r="P296" s="6"/>
      <c r="Q296" s="6" t="s">
        <v>1463</v>
      </c>
    </row>
    <row r="297" customFormat="false" ht="15" hidden="false" customHeight="false" outlineLevel="0" collapsed="false">
      <c r="A297" s="6" t="s">
        <v>1464</v>
      </c>
      <c r="B297" s="6" t="s">
        <v>1465</v>
      </c>
      <c r="C297" s="6" t="s">
        <v>1466</v>
      </c>
      <c r="D297" s="6" t="s">
        <v>1387</v>
      </c>
      <c r="E297" s="6" t="s">
        <v>95</v>
      </c>
      <c r="F297" s="6" t="s">
        <v>1365</v>
      </c>
      <c r="G297" s="6" t="s">
        <v>1366</v>
      </c>
      <c r="H297" s="7" t="n">
        <v>9790</v>
      </c>
      <c r="I297" s="8" t="n">
        <v>10</v>
      </c>
      <c r="J297" s="9" t="n">
        <v>70.12</v>
      </c>
      <c r="K297" s="8" t="s">
        <v>35</v>
      </c>
      <c r="L297" s="10" t="s">
        <v>98</v>
      </c>
      <c r="M297" s="10" t="s">
        <v>409</v>
      </c>
      <c r="N297" s="10" t="s">
        <v>1367</v>
      </c>
      <c r="O297" s="8" t="str">
        <f aca="false">IF(M297="prescription","Yes","No")</f>
        <v>Yes</v>
      </c>
      <c r="P297" s="6"/>
      <c r="Q297" s="6" t="s">
        <v>1467</v>
      </c>
    </row>
    <row r="298" customFormat="false" ht="15" hidden="false" customHeight="false" outlineLevel="0" collapsed="false">
      <c r="A298" s="6" t="s">
        <v>1468</v>
      </c>
      <c r="B298" s="6" t="s">
        <v>1469</v>
      </c>
      <c r="C298" s="6" t="s">
        <v>1466</v>
      </c>
      <c r="D298" s="6" t="s">
        <v>1462</v>
      </c>
      <c r="E298" s="6" t="s">
        <v>95</v>
      </c>
      <c r="F298" s="6" t="s">
        <v>1365</v>
      </c>
      <c r="G298" s="6" t="s">
        <v>1366</v>
      </c>
      <c r="H298" s="7" t="n">
        <v>16700</v>
      </c>
      <c r="I298" s="8" t="n">
        <v>10</v>
      </c>
      <c r="J298" s="9" t="n">
        <v>39.43</v>
      </c>
      <c r="K298" s="8" t="s">
        <v>35</v>
      </c>
      <c r="L298" s="10" t="s">
        <v>98</v>
      </c>
      <c r="M298" s="10" t="s">
        <v>409</v>
      </c>
      <c r="N298" s="10" t="s">
        <v>1367</v>
      </c>
      <c r="O298" s="8" t="str">
        <f aca="false">IF(M298="prescription","Yes","No")</f>
        <v>Yes</v>
      </c>
      <c r="P298" s="6"/>
      <c r="Q298" s="6" t="s">
        <v>1470</v>
      </c>
    </row>
    <row r="299" customFormat="false" ht="15" hidden="false" customHeight="false" outlineLevel="0" collapsed="false">
      <c r="A299" s="6" t="s">
        <v>1471</v>
      </c>
      <c r="B299" s="6" t="s">
        <v>1472</v>
      </c>
      <c r="C299" s="6" t="s">
        <v>1466</v>
      </c>
      <c r="D299" s="6" t="s">
        <v>1473</v>
      </c>
      <c r="E299" s="6" t="s">
        <v>95</v>
      </c>
      <c r="F299" s="6" t="s">
        <v>1365</v>
      </c>
      <c r="G299" s="6" t="s">
        <v>1366</v>
      </c>
      <c r="H299" s="7" t="n">
        <v>7490</v>
      </c>
      <c r="I299" s="8" t="n">
        <v>10</v>
      </c>
      <c r="J299" s="9" t="n">
        <v>87.07</v>
      </c>
      <c r="K299" s="8" t="s">
        <v>35</v>
      </c>
      <c r="L299" s="10" t="s">
        <v>98</v>
      </c>
      <c r="M299" s="10" t="s">
        <v>409</v>
      </c>
      <c r="N299" s="10" t="s">
        <v>1367</v>
      </c>
      <c r="O299" s="8" t="str">
        <f aca="false">IF(M299="prescription","Yes","No")</f>
        <v>Yes</v>
      </c>
      <c r="P299" s="6"/>
      <c r="Q299" s="6" t="s">
        <v>1474</v>
      </c>
    </row>
    <row r="300" customFormat="false" ht="15" hidden="false" customHeight="false" outlineLevel="0" collapsed="false">
      <c r="A300" s="6" t="s">
        <v>1475</v>
      </c>
      <c r="B300" s="6" t="s">
        <v>1476</v>
      </c>
      <c r="C300" s="6" t="s">
        <v>210</v>
      </c>
      <c r="D300" s="6" t="s">
        <v>1477</v>
      </c>
      <c r="E300" s="6" t="s">
        <v>95</v>
      </c>
      <c r="F300" s="6" t="s">
        <v>1365</v>
      </c>
      <c r="G300" s="6" t="s">
        <v>1366</v>
      </c>
      <c r="H300" s="7" t="n">
        <v>720</v>
      </c>
      <c r="I300" s="8" t="n">
        <v>30</v>
      </c>
      <c r="J300" s="9" t="n">
        <v>121.39</v>
      </c>
      <c r="K300" s="8" t="s">
        <v>35</v>
      </c>
      <c r="L300" s="10" t="s">
        <v>98</v>
      </c>
      <c r="M300" s="10" t="s">
        <v>409</v>
      </c>
      <c r="N300" s="10" t="s">
        <v>1367</v>
      </c>
      <c r="O300" s="8" t="str">
        <f aca="false">IF(M300="prescription","Yes","No")</f>
        <v>Yes</v>
      </c>
      <c r="P300" s="6"/>
      <c r="Q300" s="6" t="s">
        <v>1478</v>
      </c>
    </row>
    <row r="301" customFormat="false" ht="15" hidden="false" customHeight="false" outlineLevel="0" collapsed="false">
      <c r="A301" s="6" t="s">
        <v>1479</v>
      </c>
      <c r="B301" s="6" t="s">
        <v>1480</v>
      </c>
      <c r="C301" s="6" t="s">
        <v>210</v>
      </c>
      <c r="D301" s="6" t="s">
        <v>1481</v>
      </c>
      <c r="E301" s="6" t="s">
        <v>95</v>
      </c>
      <c r="F301" s="6" t="s">
        <v>1365</v>
      </c>
      <c r="G301" s="6" t="s">
        <v>1366</v>
      </c>
      <c r="H301" s="7" t="n">
        <v>30</v>
      </c>
      <c r="I301" s="8" t="n">
        <v>30</v>
      </c>
      <c r="J301" s="9" t="n">
        <v>553.05</v>
      </c>
      <c r="K301" s="8" t="s">
        <v>35</v>
      </c>
      <c r="L301" s="10" t="s">
        <v>98</v>
      </c>
      <c r="M301" s="10" t="s">
        <v>409</v>
      </c>
      <c r="N301" s="10" t="s">
        <v>1367</v>
      </c>
      <c r="O301" s="8" t="str">
        <f aca="false">IF(M301="prescription","Yes","No")</f>
        <v>Yes</v>
      </c>
      <c r="P301" s="6"/>
      <c r="Q301" s="6" t="s">
        <v>1482</v>
      </c>
    </row>
    <row r="302" customFormat="false" ht="15" hidden="false" customHeight="false" outlineLevel="0" collapsed="false">
      <c r="A302" s="6" t="s">
        <v>1483</v>
      </c>
      <c r="B302" s="6" t="s">
        <v>1484</v>
      </c>
      <c r="C302" s="6" t="s">
        <v>1336</v>
      </c>
      <c r="D302" s="6" t="s">
        <v>1477</v>
      </c>
      <c r="E302" s="6" t="s">
        <v>95</v>
      </c>
      <c r="F302" s="6" t="s">
        <v>1365</v>
      </c>
      <c r="G302" s="6" t="s">
        <v>1366</v>
      </c>
      <c r="H302" s="7" t="n">
        <v>10000</v>
      </c>
      <c r="I302" s="8" t="n">
        <v>10</v>
      </c>
      <c r="J302" s="9" t="n">
        <v>94.9</v>
      </c>
      <c r="K302" s="8" t="s">
        <v>35</v>
      </c>
      <c r="L302" s="10" t="s">
        <v>98</v>
      </c>
      <c r="M302" s="10" t="s">
        <v>409</v>
      </c>
      <c r="N302" s="10" t="s">
        <v>1367</v>
      </c>
      <c r="O302" s="8" t="str">
        <f aca="false">IF(M302="prescription","Yes","No")</f>
        <v>Yes</v>
      </c>
      <c r="P302" s="6"/>
      <c r="Q302" s="6" t="s">
        <v>1485</v>
      </c>
    </row>
    <row r="303" customFormat="false" ht="15" hidden="false" customHeight="false" outlineLevel="0" collapsed="false">
      <c r="A303" s="6" t="s">
        <v>1486</v>
      </c>
      <c r="B303" s="6" t="s">
        <v>1487</v>
      </c>
      <c r="C303" s="6" t="s">
        <v>1488</v>
      </c>
      <c r="D303" s="6" t="s">
        <v>1437</v>
      </c>
      <c r="E303" s="6" t="s">
        <v>407</v>
      </c>
      <c r="F303" s="6" t="s">
        <v>1378</v>
      </c>
      <c r="G303" s="6" t="s">
        <v>1379</v>
      </c>
      <c r="H303" s="7" t="n">
        <v>23</v>
      </c>
      <c r="I303" s="8" t="n">
        <v>1</v>
      </c>
      <c r="J303" s="9" t="n">
        <v>147.96</v>
      </c>
      <c r="K303" s="8" t="s">
        <v>35</v>
      </c>
      <c r="L303" s="10" t="s">
        <v>98</v>
      </c>
      <c r="M303" s="10" t="s">
        <v>409</v>
      </c>
      <c r="N303" s="10" t="s">
        <v>1367</v>
      </c>
      <c r="O303" s="8" t="str">
        <f aca="false">IF(M303="prescription","Yes","No")</f>
        <v>Yes</v>
      </c>
      <c r="P303" s="6"/>
      <c r="Q303" s="6" t="s">
        <v>1489</v>
      </c>
    </row>
    <row r="304" customFormat="false" ht="15" hidden="false" customHeight="false" outlineLevel="0" collapsed="false">
      <c r="A304" s="6" t="s">
        <v>1490</v>
      </c>
      <c r="B304" s="6" t="s">
        <v>1491</v>
      </c>
      <c r="C304" s="6" t="s">
        <v>1488</v>
      </c>
      <c r="D304" s="6" t="s">
        <v>1383</v>
      </c>
      <c r="E304" s="6" t="s">
        <v>407</v>
      </c>
      <c r="F304" s="6" t="s">
        <v>1378</v>
      </c>
      <c r="G304" s="6" t="s">
        <v>1379</v>
      </c>
      <c r="H304" s="7" t="n">
        <v>7</v>
      </c>
      <c r="I304" s="8" t="n">
        <v>1</v>
      </c>
      <c r="J304" s="9" t="n">
        <v>154.11</v>
      </c>
      <c r="K304" s="8" t="s">
        <v>35</v>
      </c>
      <c r="L304" s="10" t="s">
        <v>98</v>
      </c>
      <c r="M304" s="10" t="s">
        <v>409</v>
      </c>
      <c r="N304" s="10" t="s">
        <v>1367</v>
      </c>
      <c r="O304" s="8" t="str">
        <f aca="false">IF(M304="prescription","Yes","No")</f>
        <v>Yes</v>
      </c>
      <c r="P304" s="6"/>
      <c r="Q304" s="6" t="s">
        <v>1492</v>
      </c>
    </row>
    <row r="305" customFormat="false" ht="15" hidden="false" customHeight="false" outlineLevel="0" collapsed="false">
      <c r="A305" s="6" t="s">
        <v>1493</v>
      </c>
      <c r="B305" s="6" t="s">
        <v>1494</v>
      </c>
      <c r="C305" s="6" t="s">
        <v>1495</v>
      </c>
      <c r="D305" s="6" t="s">
        <v>1496</v>
      </c>
      <c r="E305" s="6" t="s">
        <v>301</v>
      </c>
      <c r="F305" s="6" t="s">
        <v>302</v>
      </c>
      <c r="G305" s="6" t="s">
        <v>1497</v>
      </c>
      <c r="H305" s="7" t="n">
        <v>4</v>
      </c>
      <c r="I305" s="8" t="n">
        <v>1</v>
      </c>
      <c r="J305" s="9" t="n">
        <v>77.68</v>
      </c>
      <c r="K305" s="8" t="s">
        <v>35</v>
      </c>
      <c r="L305" s="10" t="s">
        <v>98</v>
      </c>
      <c r="M305" s="10" t="s">
        <v>409</v>
      </c>
      <c r="N305" s="10" t="s">
        <v>1498</v>
      </c>
      <c r="O305" s="8" t="str">
        <f aca="false">IF(M305="prescription","Yes","No")</f>
        <v>Yes</v>
      </c>
      <c r="P305" s="6"/>
      <c r="Q305" s="6" t="s">
        <v>1499</v>
      </c>
    </row>
    <row r="306" customFormat="false" ht="15" hidden="false" customHeight="false" outlineLevel="0" collapsed="false">
      <c r="A306" s="6" t="s">
        <v>1500</v>
      </c>
      <c r="B306" s="6" t="s">
        <v>1501</v>
      </c>
      <c r="C306" s="6" t="s">
        <v>1502</v>
      </c>
      <c r="D306" s="6" t="s">
        <v>1503</v>
      </c>
      <c r="E306" s="6" t="s">
        <v>301</v>
      </c>
      <c r="F306" s="6" t="s">
        <v>302</v>
      </c>
      <c r="G306" s="6" t="s">
        <v>1504</v>
      </c>
      <c r="H306" s="7" t="n">
        <v>8</v>
      </c>
      <c r="I306" s="8" t="n">
        <v>1</v>
      </c>
      <c r="J306" s="9" t="n">
        <v>31.93</v>
      </c>
      <c r="K306" s="8" t="s">
        <v>35</v>
      </c>
      <c r="L306" s="10" t="s">
        <v>98</v>
      </c>
      <c r="M306" s="10" t="s">
        <v>409</v>
      </c>
      <c r="N306" s="10" t="s">
        <v>1498</v>
      </c>
      <c r="O306" s="8" t="str">
        <f aca="false">IF(M306="prescription","Yes","No")</f>
        <v>Yes</v>
      </c>
      <c r="P306" s="6"/>
      <c r="Q306" s="6" t="s">
        <v>1505</v>
      </c>
    </row>
    <row r="307" customFormat="false" ht="15" hidden="false" customHeight="false" outlineLevel="0" collapsed="false">
      <c r="A307" s="6" t="s">
        <v>1506</v>
      </c>
      <c r="B307" s="6" t="s">
        <v>1507</v>
      </c>
      <c r="C307" s="6" t="s">
        <v>1502</v>
      </c>
      <c r="D307" s="6" t="s">
        <v>1508</v>
      </c>
      <c r="E307" s="6" t="s">
        <v>301</v>
      </c>
      <c r="F307" s="6" t="s">
        <v>302</v>
      </c>
      <c r="G307" s="6" t="s">
        <v>1509</v>
      </c>
      <c r="H307" s="7" t="n">
        <v>17</v>
      </c>
      <c r="I307" s="8" t="n">
        <v>1</v>
      </c>
      <c r="J307" s="9" t="n">
        <v>73.53</v>
      </c>
      <c r="K307" s="8" t="s">
        <v>35</v>
      </c>
      <c r="L307" s="10" t="s">
        <v>98</v>
      </c>
      <c r="M307" s="10" t="s">
        <v>409</v>
      </c>
      <c r="N307" s="10" t="s">
        <v>1498</v>
      </c>
      <c r="O307" s="8" t="str">
        <f aca="false">IF(M307="prescription","Yes","No")</f>
        <v>Yes</v>
      </c>
      <c r="P307" s="6"/>
      <c r="Q307" s="6" t="s">
        <v>1510</v>
      </c>
    </row>
    <row r="308" customFormat="false" ht="15" hidden="false" customHeight="false" outlineLevel="0" collapsed="false">
      <c r="A308" s="6" t="s">
        <v>1511</v>
      </c>
      <c r="B308" s="6" t="s">
        <v>1512</v>
      </c>
      <c r="C308" s="6" t="s">
        <v>1513</v>
      </c>
      <c r="D308" s="6" t="s">
        <v>1514</v>
      </c>
      <c r="E308" s="6" t="s">
        <v>301</v>
      </c>
      <c r="F308" s="6" t="s">
        <v>302</v>
      </c>
      <c r="G308" s="6" t="s">
        <v>1515</v>
      </c>
      <c r="H308" s="7" t="n">
        <v>50</v>
      </c>
      <c r="I308" s="8" t="n">
        <v>1</v>
      </c>
      <c r="J308" s="9" t="n">
        <v>220.03</v>
      </c>
      <c r="K308" s="8" t="s">
        <v>35</v>
      </c>
      <c r="L308" s="10" t="s">
        <v>98</v>
      </c>
      <c r="M308" s="10" t="s">
        <v>409</v>
      </c>
      <c r="N308" s="10" t="s">
        <v>1498</v>
      </c>
      <c r="O308" s="8" t="str">
        <f aca="false">IF(M308="prescription","Yes","No")</f>
        <v>Yes</v>
      </c>
      <c r="P308" s="6"/>
      <c r="Q308" s="6" t="s">
        <v>1516</v>
      </c>
    </row>
    <row r="309" customFormat="false" ht="15" hidden="false" customHeight="false" outlineLevel="0" collapsed="false">
      <c r="A309" s="6" t="s">
        <v>1517</v>
      </c>
      <c r="B309" s="6" t="s">
        <v>1518</v>
      </c>
      <c r="C309" s="6" t="s">
        <v>1495</v>
      </c>
      <c r="D309" s="6" t="s">
        <v>1519</v>
      </c>
      <c r="E309" s="6" t="s">
        <v>301</v>
      </c>
      <c r="F309" s="6" t="s">
        <v>302</v>
      </c>
      <c r="G309" s="6" t="s">
        <v>1520</v>
      </c>
      <c r="H309" s="7" t="n">
        <v>16</v>
      </c>
      <c r="I309" s="8" t="n">
        <v>1</v>
      </c>
      <c r="J309" s="9" t="n">
        <v>77.68</v>
      </c>
      <c r="K309" s="8" t="s">
        <v>35</v>
      </c>
      <c r="L309" s="10" t="s">
        <v>98</v>
      </c>
      <c r="M309" s="10" t="s">
        <v>409</v>
      </c>
      <c r="N309" s="10" t="s">
        <v>1498</v>
      </c>
      <c r="O309" s="8" t="str">
        <f aca="false">IF(M309="prescription","Yes","No")</f>
        <v>Yes</v>
      </c>
      <c r="P309" s="6"/>
      <c r="Q309" s="6" t="s">
        <v>1521</v>
      </c>
    </row>
    <row r="310" customFormat="false" ht="15" hidden="false" customHeight="false" outlineLevel="0" collapsed="false">
      <c r="A310" s="6" t="s">
        <v>1522</v>
      </c>
      <c r="B310" s="6" t="s">
        <v>1523</v>
      </c>
      <c r="C310" s="6" t="s">
        <v>483</v>
      </c>
      <c r="D310" s="6" t="s">
        <v>1524</v>
      </c>
      <c r="E310" s="6" t="s">
        <v>301</v>
      </c>
      <c r="F310" s="6" t="s">
        <v>302</v>
      </c>
      <c r="G310" s="6" t="s">
        <v>1504</v>
      </c>
      <c r="H310" s="7" t="n">
        <v>44</v>
      </c>
      <c r="I310" s="8" t="n">
        <v>1</v>
      </c>
      <c r="J310" s="9" t="n">
        <v>10.86</v>
      </c>
      <c r="K310" s="8" t="s">
        <v>35</v>
      </c>
      <c r="L310" s="10" t="s">
        <v>98</v>
      </c>
      <c r="M310" s="10" t="s">
        <v>409</v>
      </c>
      <c r="N310" s="10" t="s">
        <v>1498</v>
      </c>
      <c r="O310" s="8" t="str">
        <f aca="false">IF(M310="prescription","Yes","No")</f>
        <v>Yes</v>
      </c>
      <c r="P310" s="6"/>
      <c r="Q310" s="6" t="s">
        <v>1525</v>
      </c>
    </row>
    <row r="311" customFormat="false" ht="15" hidden="false" customHeight="false" outlineLevel="0" collapsed="false">
      <c r="A311" s="6" t="s">
        <v>1526</v>
      </c>
      <c r="B311" s="6" t="s">
        <v>1527</v>
      </c>
      <c r="C311" s="6" t="s">
        <v>1412</v>
      </c>
      <c r="D311" s="6" t="s">
        <v>1528</v>
      </c>
      <c r="E311" s="6" t="s">
        <v>301</v>
      </c>
      <c r="F311" s="6" t="s">
        <v>302</v>
      </c>
      <c r="G311" s="6" t="s">
        <v>1509</v>
      </c>
      <c r="H311" s="7" t="n">
        <v>106</v>
      </c>
      <c r="I311" s="8" t="n">
        <v>1</v>
      </c>
      <c r="J311" s="9" t="n">
        <v>9.08</v>
      </c>
      <c r="K311" s="8" t="s">
        <v>35</v>
      </c>
      <c r="L311" s="10" t="s">
        <v>98</v>
      </c>
      <c r="M311" s="10" t="s">
        <v>409</v>
      </c>
      <c r="N311" s="10" t="s">
        <v>1498</v>
      </c>
      <c r="O311" s="8" t="str">
        <f aca="false">IF(M311="prescription","Yes","No")</f>
        <v>Yes</v>
      </c>
      <c r="P311" s="6"/>
      <c r="Q311" s="6" t="s">
        <v>1529</v>
      </c>
    </row>
    <row r="312" customFormat="false" ht="15" hidden="false" customHeight="false" outlineLevel="0" collapsed="false">
      <c r="A312" s="6" t="s">
        <v>1530</v>
      </c>
      <c r="B312" s="6" t="s">
        <v>1531</v>
      </c>
      <c r="C312" s="6" t="s">
        <v>1532</v>
      </c>
      <c r="D312" s="6" t="s">
        <v>1533</v>
      </c>
      <c r="E312" s="6" t="s">
        <v>301</v>
      </c>
      <c r="F312" s="6" t="s">
        <v>302</v>
      </c>
      <c r="G312" s="6" t="s">
        <v>1534</v>
      </c>
      <c r="H312" s="7" t="n">
        <v>7</v>
      </c>
      <c r="I312" s="8" t="n">
        <v>1</v>
      </c>
      <c r="J312" s="9" t="n">
        <v>30.07</v>
      </c>
      <c r="K312" s="8" t="s">
        <v>35</v>
      </c>
      <c r="L312" s="10" t="s">
        <v>98</v>
      </c>
      <c r="M312" s="10" t="s">
        <v>409</v>
      </c>
      <c r="N312" s="10" t="s">
        <v>1498</v>
      </c>
      <c r="O312" s="8" t="str">
        <f aca="false">IF(M312="prescription","Yes","No")</f>
        <v>Yes</v>
      </c>
      <c r="P312" s="6"/>
      <c r="Q312" s="6" t="s">
        <v>1535</v>
      </c>
    </row>
    <row r="313" customFormat="false" ht="15" hidden="false" customHeight="false" outlineLevel="0" collapsed="false">
      <c r="A313" s="6" t="s">
        <v>1536</v>
      </c>
      <c r="B313" s="6" t="s">
        <v>1537</v>
      </c>
      <c r="C313" s="6" t="s">
        <v>1538</v>
      </c>
      <c r="D313" s="6" t="s">
        <v>1539</v>
      </c>
      <c r="E313" s="6" t="s">
        <v>301</v>
      </c>
      <c r="F313" s="6" t="s">
        <v>302</v>
      </c>
      <c r="G313" s="6" t="s">
        <v>1540</v>
      </c>
      <c r="H313" s="7" t="n">
        <v>13</v>
      </c>
      <c r="I313" s="8" t="n">
        <v>1</v>
      </c>
      <c r="J313" s="9" t="n">
        <v>114.82</v>
      </c>
      <c r="K313" s="8" t="s">
        <v>35</v>
      </c>
      <c r="L313" s="10" t="s">
        <v>98</v>
      </c>
      <c r="M313" s="10" t="s">
        <v>409</v>
      </c>
      <c r="N313" s="10" t="s">
        <v>1498</v>
      </c>
      <c r="O313" s="8" t="str">
        <f aca="false">IF(M313="prescription","Yes","No")</f>
        <v>Yes</v>
      </c>
      <c r="P313" s="6"/>
      <c r="Q313" s="6" t="s">
        <v>1541</v>
      </c>
    </row>
    <row r="314" customFormat="false" ht="15" hidden="false" customHeight="false" outlineLevel="0" collapsed="false">
      <c r="A314" s="6" t="s">
        <v>1542</v>
      </c>
      <c r="B314" s="6" t="s">
        <v>1543</v>
      </c>
      <c r="C314" s="6" t="s">
        <v>1544</v>
      </c>
      <c r="D314" s="6" t="s">
        <v>1545</v>
      </c>
      <c r="E314" s="6" t="s">
        <v>301</v>
      </c>
      <c r="F314" s="6" t="s">
        <v>302</v>
      </c>
      <c r="G314" s="6" t="s">
        <v>1515</v>
      </c>
      <c r="H314" s="7" t="n">
        <v>52</v>
      </c>
      <c r="I314" s="8" t="n">
        <v>1</v>
      </c>
      <c r="J314" s="9" t="n">
        <v>96.39</v>
      </c>
      <c r="K314" s="8" t="s">
        <v>35</v>
      </c>
      <c r="L314" s="10" t="s">
        <v>98</v>
      </c>
      <c r="M314" s="10" t="s">
        <v>409</v>
      </c>
      <c r="N314" s="10" t="s">
        <v>1498</v>
      </c>
      <c r="O314" s="8" t="str">
        <f aca="false">IF(M314="prescription","Yes","No")</f>
        <v>Yes</v>
      </c>
      <c r="P314" s="6"/>
      <c r="Q314" s="6" t="s">
        <v>1546</v>
      </c>
    </row>
    <row r="315" customFormat="false" ht="15" hidden="false" customHeight="false" outlineLevel="0" collapsed="false">
      <c r="A315" s="6" t="s">
        <v>1547</v>
      </c>
      <c r="B315" s="6" t="s">
        <v>1548</v>
      </c>
      <c r="C315" s="6" t="s">
        <v>1549</v>
      </c>
      <c r="D315" s="6" t="s">
        <v>1496</v>
      </c>
      <c r="E315" s="6" t="s">
        <v>301</v>
      </c>
      <c r="F315" s="6" t="s">
        <v>302</v>
      </c>
      <c r="G315" s="6" t="s">
        <v>1497</v>
      </c>
      <c r="H315" s="7" t="n">
        <v>99</v>
      </c>
      <c r="I315" s="8" t="n">
        <v>1</v>
      </c>
      <c r="J315" s="9" t="n">
        <v>52.95</v>
      </c>
      <c r="K315" s="8" t="s">
        <v>35</v>
      </c>
      <c r="L315" s="10" t="s">
        <v>98</v>
      </c>
      <c r="M315" s="10" t="s">
        <v>409</v>
      </c>
      <c r="N315" s="10" t="s">
        <v>1498</v>
      </c>
      <c r="O315" s="8" t="str">
        <f aca="false">IF(M315="prescription","Yes","No")</f>
        <v>Yes</v>
      </c>
      <c r="P315" s="6"/>
      <c r="Q315" s="6" t="s">
        <v>1550</v>
      </c>
    </row>
    <row r="316" customFormat="false" ht="15" hidden="false" customHeight="false" outlineLevel="0" collapsed="false">
      <c r="A316" s="6" t="s">
        <v>1551</v>
      </c>
      <c r="B316" s="6" t="s">
        <v>1552</v>
      </c>
      <c r="C316" s="6" t="s">
        <v>1553</v>
      </c>
      <c r="D316" s="6" t="s">
        <v>1524</v>
      </c>
      <c r="E316" s="6" t="s">
        <v>301</v>
      </c>
      <c r="F316" s="6" t="s">
        <v>302</v>
      </c>
      <c r="G316" s="6" t="s">
        <v>1504</v>
      </c>
      <c r="H316" s="7" t="n">
        <v>0</v>
      </c>
      <c r="I316" s="8" t="n">
        <v>1</v>
      </c>
      <c r="J316" s="9" t="n">
        <v>17.89</v>
      </c>
      <c r="K316" s="8" t="s">
        <v>87</v>
      </c>
      <c r="L316" s="10" t="s">
        <v>98</v>
      </c>
      <c r="M316" s="10" t="s">
        <v>409</v>
      </c>
      <c r="N316" s="10" t="s">
        <v>1498</v>
      </c>
      <c r="O316" s="8" t="str">
        <f aca="false">IF(M316="prescription","Yes","No")</f>
        <v>Yes</v>
      </c>
      <c r="P316" s="6" t="s">
        <v>89</v>
      </c>
      <c r="Q316" s="6" t="s">
        <v>1554</v>
      </c>
    </row>
    <row r="317" customFormat="false" ht="15" hidden="false" customHeight="false" outlineLevel="0" collapsed="false">
      <c r="A317" s="6" t="s">
        <v>1555</v>
      </c>
      <c r="B317" s="6" t="s">
        <v>1556</v>
      </c>
      <c r="C317" s="6" t="s">
        <v>1557</v>
      </c>
      <c r="D317" s="6" t="s">
        <v>1558</v>
      </c>
      <c r="E317" s="6" t="s">
        <v>301</v>
      </c>
      <c r="F317" s="6" t="s">
        <v>302</v>
      </c>
      <c r="G317" s="6" t="s">
        <v>1515</v>
      </c>
      <c r="H317" s="7" t="n">
        <v>0</v>
      </c>
      <c r="I317" s="8" t="n">
        <v>1</v>
      </c>
      <c r="J317" s="9" t="n">
        <v>206.97</v>
      </c>
      <c r="K317" s="8" t="s">
        <v>87</v>
      </c>
      <c r="L317" s="10" t="s">
        <v>98</v>
      </c>
      <c r="M317" s="10" t="s">
        <v>409</v>
      </c>
      <c r="N317" s="10" t="s">
        <v>1498</v>
      </c>
      <c r="O317" s="8" t="str">
        <f aca="false">IF(M317="prescription","Yes","No")</f>
        <v>Yes</v>
      </c>
      <c r="P317" s="6" t="s">
        <v>89</v>
      </c>
      <c r="Q317" s="6" t="s">
        <v>1559</v>
      </c>
    </row>
    <row r="318" customFormat="false" ht="15" hidden="false" customHeight="false" outlineLevel="0" collapsed="false">
      <c r="A318" s="6" t="s">
        <v>1560</v>
      </c>
      <c r="B318" s="6" t="s">
        <v>1561</v>
      </c>
      <c r="C318" s="6" t="s">
        <v>1502</v>
      </c>
      <c r="D318" s="6" t="s">
        <v>1562</v>
      </c>
      <c r="E318" s="6" t="s">
        <v>301</v>
      </c>
      <c r="F318" s="6" t="s">
        <v>302</v>
      </c>
      <c r="G318" s="6" t="s">
        <v>1563</v>
      </c>
      <c r="H318" s="7" t="n">
        <v>63</v>
      </c>
      <c r="I318" s="8" t="n">
        <v>1</v>
      </c>
      <c r="J318" s="9" t="n">
        <v>285.3</v>
      </c>
      <c r="K318" s="8" t="s">
        <v>35</v>
      </c>
      <c r="L318" s="10" t="s">
        <v>98</v>
      </c>
      <c r="M318" s="10" t="s">
        <v>409</v>
      </c>
      <c r="N318" s="10" t="s">
        <v>1498</v>
      </c>
      <c r="O318" s="8" t="str">
        <f aca="false">IF(M318="prescription","Yes","No")</f>
        <v>Yes</v>
      </c>
      <c r="P318" s="6"/>
      <c r="Q318" s="6" t="s">
        <v>1564</v>
      </c>
    </row>
    <row r="319" customFormat="false" ht="15" hidden="false" customHeight="false" outlineLevel="0" collapsed="false">
      <c r="A319" s="6" t="s">
        <v>1565</v>
      </c>
      <c r="B319" s="6" t="s">
        <v>1566</v>
      </c>
      <c r="C319" s="6" t="s">
        <v>1502</v>
      </c>
      <c r="D319" s="6" t="s">
        <v>1558</v>
      </c>
      <c r="E319" s="6" t="s">
        <v>301</v>
      </c>
      <c r="F319" s="6" t="s">
        <v>302</v>
      </c>
      <c r="G319" s="6" t="s">
        <v>1515</v>
      </c>
      <c r="H319" s="7" t="n">
        <v>1</v>
      </c>
      <c r="I319" s="8" t="n">
        <v>1</v>
      </c>
      <c r="J319" s="9" t="n">
        <v>262.96</v>
      </c>
      <c r="K319" s="8" t="s">
        <v>35</v>
      </c>
      <c r="L319" s="10" t="s">
        <v>98</v>
      </c>
      <c r="M319" s="10" t="s">
        <v>409</v>
      </c>
      <c r="N319" s="10" t="s">
        <v>1498</v>
      </c>
      <c r="O319" s="8" t="str">
        <f aca="false">IF(M319="prescription","Yes","No")</f>
        <v>Yes</v>
      </c>
      <c r="P319" s="6"/>
      <c r="Q319" s="6" t="s">
        <v>1567</v>
      </c>
    </row>
    <row r="320" customFormat="false" ht="15" hidden="false" customHeight="false" outlineLevel="0" collapsed="false">
      <c r="A320" s="6" t="s">
        <v>1568</v>
      </c>
      <c r="B320" s="6" t="s">
        <v>1569</v>
      </c>
      <c r="C320" s="6" t="s">
        <v>1570</v>
      </c>
      <c r="D320" s="6" t="s">
        <v>1571</v>
      </c>
      <c r="E320" s="6" t="s">
        <v>301</v>
      </c>
      <c r="F320" s="6" t="s">
        <v>302</v>
      </c>
      <c r="G320" s="6" t="s">
        <v>1572</v>
      </c>
      <c r="H320" s="7" t="n">
        <v>300</v>
      </c>
      <c r="I320" s="8" t="n">
        <v>1</v>
      </c>
      <c r="J320" s="9" t="n">
        <v>31.62</v>
      </c>
      <c r="K320" s="8" t="s">
        <v>35</v>
      </c>
      <c r="L320" s="10" t="s">
        <v>98</v>
      </c>
      <c r="M320" s="10" t="s">
        <v>409</v>
      </c>
      <c r="N320" s="10" t="s">
        <v>1498</v>
      </c>
      <c r="O320" s="8" t="str">
        <f aca="false">IF(M320="prescription","Yes","No")</f>
        <v>Yes</v>
      </c>
      <c r="P320" s="6"/>
      <c r="Q320" s="6" t="s">
        <v>1573</v>
      </c>
    </row>
    <row r="321" customFormat="false" ht="15" hidden="false" customHeight="false" outlineLevel="0" collapsed="false">
      <c r="A321" s="6" t="s">
        <v>1574</v>
      </c>
      <c r="B321" s="6" t="s">
        <v>1575</v>
      </c>
      <c r="C321" s="6" t="s">
        <v>554</v>
      </c>
      <c r="D321" s="6" t="s">
        <v>1571</v>
      </c>
      <c r="E321" s="6" t="s">
        <v>301</v>
      </c>
      <c r="F321" s="6" t="s">
        <v>302</v>
      </c>
      <c r="G321" s="6" t="s">
        <v>1572</v>
      </c>
      <c r="H321" s="7" t="n">
        <v>174</v>
      </c>
      <c r="I321" s="8" t="n">
        <v>1</v>
      </c>
      <c r="J321" s="9" t="n">
        <v>46.22</v>
      </c>
      <c r="K321" s="8" t="s">
        <v>35</v>
      </c>
      <c r="L321" s="10" t="s">
        <v>98</v>
      </c>
      <c r="M321" s="10" t="s">
        <v>409</v>
      </c>
      <c r="N321" s="10" t="s">
        <v>1498</v>
      </c>
      <c r="O321" s="8" t="str">
        <f aca="false">IF(M321="prescription","Yes","No")</f>
        <v>Yes</v>
      </c>
      <c r="P321" s="6"/>
      <c r="Q321" s="6" t="s">
        <v>1576</v>
      </c>
    </row>
    <row r="322" customFormat="false" ht="15" hidden="false" customHeight="false" outlineLevel="0" collapsed="false">
      <c r="A322" s="6" t="s">
        <v>1577</v>
      </c>
      <c r="B322" s="6" t="s">
        <v>1578</v>
      </c>
      <c r="C322" s="6" t="s">
        <v>1557</v>
      </c>
      <c r="D322" s="6" t="s">
        <v>1579</v>
      </c>
      <c r="E322" s="6" t="s">
        <v>301</v>
      </c>
      <c r="F322" s="6" t="s">
        <v>302</v>
      </c>
      <c r="G322" s="6" t="s">
        <v>1515</v>
      </c>
      <c r="H322" s="7" t="n">
        <v>96</v>
      </c>
      <c r="I322" s="8" t="n">
        <v>1</v>
      </c>
      <c r="J322" s="9" t="n">
        <v>131.18</v>
      </c>
      <c r="K322" s="8" t="s">
        <v>35</v>
      </c>
      <c r="L322" s="10" t="s">
        <v>98</v>
      </c>
      <c r="M322" s="10" t="s">
        <v>409</v>
      </c>
      <c r="N322" s="10" t="s">
        <v>1498</v>
      </c>
      <c r="O322" s="8" t="str">
        <f aca="false">IF(M322="prescription","Yes","No")</f>
        <v>Yes</v>
      </c>
      <c r="P322" s="6"/>
      <c r="Q322" s="6" t="s">
        <v>1580</v>
      </c>
    </row>
    <row r="323" customFormat="false" ht="15" hidden="false" customHeight="false" outlineLevel="0" collapsed="false">
      <c r="A323" s="6" t="s">
        <v>1581</v>
      </c>
      <c r="B323" s="6" t="s">
        <v>1582</v>
      </c>
      <c r="C323" s="6" t="s">
        <v>1412</v>
      </c>
      <c r="D323" s="6" t="s">
        <v>1583</v>
      </c>
      <c r="E323" s="6" t="s">
        <v>301</v>
      </c>
      <c r="F323" s="6" t="s">
        <v>302</v>
      </c>
      <c r="G323" s="6" t="s">
        <v>1584</v>
      </c>
      <c r="H323" s="7" t="n">
        <v>102</v>
      </c>
      <c r="I323" s="8" t="n">
        <v>1</v>
      </c>
      <c r="J323" s="9" t="n">
        <v>170.3</v>
      </c>
      <c r="K323" s="8" t="s">
        <v>35</v>
      </c>
      <c r="L323" s="10" t="s">
        <v>98</v>
      </c>
      <c r="M323" s="10" t="s">
        <v>409</v>
      </c>
      <c r="N323" s="10" t="s">
        <v>1498</v>
      </c>
      <c r="O323" s="8" t="str">
        <f aca="false">IF(M323="prescription","Yes","No")</f>
        <v>Yes</v>
      </c>
      <c r="P323" s="6"/>
      <c r="Q323" s="6" t="s">
        <v>1585</v>
      </c>
    </row>
    <row r="324" customFormat="false" ht="15" hidden="false" customHeight="false" outlineLevel="0" collapsed="false">
      <c r="A324" s="6" t="s">
        <v>1586</v>
      </c>
      <c r="B324" s="6" t="s">
        <v>1587</v>
      </c>
      <c r="C324" s="6" t="s">
        <v>472</v>
      </c>
      <c r="D324" s="6" t="s">
        <v>1588</v>
      </c>
      <c r="E324" s="6" t="s">
        <v>95</v>
      </c>
      <c r="F324" s="6" t="s">
        <v>252</v>
      </c>
      <c r="G324" s="6" t="s">
        <v>1589</v>
      </c>
      <c r="H324" s="7" t="n">
        <v>2208</v>
      </c>
      <c r="I324" s="8" t="n">
        <v>10</v>
      </c>
      <c r="J324" s="9" t="n">
        <v>27.72</v>
      </c>
      <c r="K324" s="8" t="s">
        <v>35</v>
      </c>
      <c r="L324" s="10" t="s">
        <v>98</v>
      </c>
      <c r="M324" s="10" t="s">
        <v>409</v>
      </c>
      <c r="N324" s="10" t="s">
        <v>1590</v>
      </c>
      <c r="O324" s="8" t="str">
        <f aca="false">IF(M324="prescription","Yes","No")</f>
        <v>Yes</v>
      </c>
      <c r="P324" s="6"/>
      <c r="Q324" s="6" t="s">
        <v>1591</v>
      </c>
    </row>
    <row r="325" customFormat="false" ht="15" hidden="false" customHeight="false" outlineLevel="0" collapsed="false">
      <c r="A325" s="6" t="s">
        <v>1592</v>
      </c>
      <c r="B325" s="6" t="s">
        <v>1593</v>
      </c>
      <c r="C325" s="6" t="s">
        <v>582</v>
      </c>
      <c r="D325" s="6" t="s">
        <v>1594</v>
      </c>
      <c r="E325" s="6" t="s">
        <v>95</v>
      </c>
      <c r="F325" s="6" t="s">
        <v>252</v>
      </c>
      <c r="G325" s="6" t="s">
        <v>1595</v>
      </c>
      <c r="H325" s="7" t="n">
        <v>50</v>
      </c>
      <c r="I325" s="8" t="n">
        <v>1</v>
      </c>
      <c r="J325" s="9" t="n">
        <v>6.13</v>
      </c>
      <c r="K325" s="8" t="s">
        <v>35</v>
      </c>
      <c r="L325" s="10" t="s">
        <v>98</v>
      </c>
      <c r="M325" s="10" t="s">
        <v>409</v>
      </c>
      <c r="N325" s="10" t="s">
        <v>1590</v>
      </c>
      <c r="O325" s="8" t="str">
        <f aca="false">IF(M325="prescription","Yes","No")</f>
        <v>Yes</v>
      </c>
      <c r="P325" s="6"/>
      <c r="Q325" s="6" t="s">
        <v>1596</v>
      </c>
    </row>
    <row r="326" customFormat="false" ht="15" hidden="false" customHeight="false" outlineLevel="0" collapsed="false">
      <c r="A326" s="6" t="s">
        <v>1597</v>
      </c>
      <c r="B326" s="6" t="s">
        <v>1598</v>
      </c>
      <c r="C326" s="6" t="s">
        <v>179</v>
      </c>
      <c r="D326" s="6" t="s">
        <v>1599</v>
      </c>
      <c r="E326" s="6" t="s">
        <v>106</v>
      </c>
      <c r="F326" s="6" t="s">
        <v>252</v>
      </c>
      <c r="G326" s="6" t="s">
        <v>270</v>
      </c>
      <c r="H326" s="7" t="n">
        <v>7100</v>
      </c>
      <c r="I326" s="8" t="n">
        <v>10</v>
      </c>
      <c r="J326" s="9" t="n">
        <v>13.94</v>
      </c>
      <c r="K326" s="8" t="s">
        <v>35</v>
      </c>
      <c r="L326" s="10" t="s">
        <v>98</v>
      </c>
      <c r="M326" s="10" t="s">
        <v>409</v>
      </c>
      <c r="N326" s="10" t="s">
        <v>1590</v>
      </c>
      <c r="O326" s="8" t="str">
        <f aca="false">IF(M326="prescription","Yes","No")</f>
        <v>Yes</v>
      </c>
      <c r="P326" s="6"/>
      <c r="Q326" s="6" t="s">
        <v>1600</v>
      </c>
    </row>
    <row r="327" customFormat="false" ht="15" hidden="false" customHeight="false" outlineLevel="0" collapsed="false">
      <c r="A327" s="6" t="s">
        <v>1601</v>
      </c>
      <c r="B327" s="6" t="s">
        <v>1602</v>
      </c>
      <c r="C327" s="6" t="s">
        <v>569</v>
      </c>
      <c r="D327" s="6" t="s">
        <v>1603</v>
      </c>
      <c r="E327" s="6" t="s">
        <v>95</v>
      </c>
      <c r="F327" s="6" t="s">
        <v>252</v>
      </c>
      <c r="G327" s="6" t="s">
        <v>270</v>
      </c>
      <c r="H327" s="7" t="n">
        <v>931</v>
      </c>
      <c r="I327" s="8" t="n">
        <v>10</v>
      </c>
      <c r="J327" s="9" t="n">
        <v>26.35</v>
      </c>
      <c r="K327" s="8" t="s">
        <v>35</v>
      </c>
      <c r="L327" s="10" t="s">
        <v>98</v>
      </c>
      <c r="M327" s="10" t="s">
        <v>409</v>
      </c>
      <c r="N327" s="10" t="s">
        <v>1590</v>
      </c>
      <c r="O327" s="8" t="str">
        <f aca="false">IF(M327="prescription","Yes","No")</f>
        <v>Yes</v>
      </c>
      <c r="P327" s="6"/>
      <c r="Q327" s="6" t="s">
        <v>1604</v>
      </c>
    </row>
    <row r="328" customFormat="false" ht="15" hidden="false" customHeight="false" outlineLevel="0" collapsed="false">
      <c r="A328" s="6" t="s">
        <v>1605</v>
      </c>
      <c r="B328" s="6" t="s">
        <v>1606</v>
      </c>
      <c r="C328" s="6" t="s">
        <v>104</v>
      </c>
      <c r="D328" s="6" t="s">
        <v>1599</v>
      </c>
      <c r="E328" s="6" t="s">
        <v>407</v>
      </c>
      <c r="F328" s="6" t="s">
        <v>1607</v>
      </c>
      <c r="G328" s="6" t="s">
        <v>270</v>
      </c>
      <c r="H328" s="7" t="n">
        <v>145</v>
      </c>
      <c r="I328" s="8" t="n">
        <v>1</v>
      </c>
      <c r="J328" s="9" t="n">
        <v>62.17</v>
      </c>
      <c r="K328" s="8" t="s">
        <v>35</v>
      </c>
      <c r="L328" s="10" t="s">
        <v>98</v>
      </c>
      <c r="M328" s="10" t="s">
        <v>409</v>
      </c>
      <c r="N328" s="10" t="s">
        <v>1590</v>
      </c>
      <c r="O328" s="8" t="str">
        <f aca="false">IF(M328="prescription","Yes","No")</f>
        <v>Yes</v>
      </c>
      <c r="P328" s="6"/>
      <c r="Q328" s="6" t="s">
        <v>1608</v>
      </c>
    </row>
    <row r="329" customFormat="false" ht="15" hidden="false" customHeight="false" outlineLevel="0" collapsed="false">
      <c r="A329" s="6" t="s">
        <v>1609</v>
      </c>
      <c r="B329" s="6" t="s">
        <v>1610</v>
      </c>
      <c r="C329" s="6" t="s">
        <v>1611</v>
      </c>
      <c r="D329" s="6" t="s">
        <v>1612</v>
      </c>
      <c r="E329" s="6" t="s">
        <v>95</v>
      </c>
      <c r="F329" s="6" t="s">
        <v>252</v>
      </c>
      <c r="G329" s="6" t="s">
        <v>270</v>
      </c>
      <c r="H329" s="7" t="n">
        <v>294</v>
      </c>
      <c r="I329" s="8" t="n">
        <v>7</v>
      </c>
      <c r="J329" s="9" t="n">
        <v>408.26</v>
      </c>
      <c r="K329" s="8" t="s">
        <v>35</v>
      </c>
      <c r="L329" s="10" t="s">
        <v>98</v>
      </c>
      <c r="M329" s="10" t="s">
        <v>409</v>
      </c>
      <c r="N329" s="10" t="s">
        <v>1590</v>
      </c>
      <c r="O329" s="8" t="str">
        <f aca="false">IF(M329="prescription","Yes","No")</f>
        <v>Yes</v>
      </c>
      <c r="P329" s="6"/>
      <c r="Q329" s="6" t="s">
        <v>1613</v>
      </c>
    </row>
    <row r="330" customFormat="false" ht="15" hidden="false" customHeight="false" outlineLevel="0" collapsed="false">
      <c r="A330" s="6" t="s">
        <v>1614</v>
      </c>
      <c r="B330" s="6" t="s">
        <v>1615</v>
      </c>
      <c r="C330" s="6" t="s">
        <v>1616</v>
      </c>
      <c r="D330" s="6" t="s">
        <v>1617</v>
      </c>
      <c r="E330" s="6" t="s">
        <v>95</v>
      </c>
      <c r="F330" s="6" t="s">
        <v>252</v>
      </c>
      <c r="G330" s="6" t="s">
        <v>1589</v>
      </c>
      <c r="H330" s="7" t="n">
        <v>407</v>
      </c>
      <c r="I330" s="8" t="n">
        <v>10</v>
      </c>
      <c r="J330" s="9" t="n">
        <v>9.97</v>
      </c>
      <c r="K330" s="8" t="s">
        <v>35</v>
      </c>
      <c r="L330" s="10" t="s">
        <v>98</v>
      </c>
      <c r="M330" s="10" t="s">
        <v>409</v>
      </c>
      <c r="N330" s="10" t="s">
        <v>1590</v>
      </c>
      <c r="O330" s="8" t="str">
        <f aca="false">IF(M330="prescription","Yes","No")</f>
        <v>Yes</v>
      </c>
      <c r="P330" s="6"/>
      <c r="Q330" s="6" t="s">
        <v>1618</v>
      </c>
    </row>
    <row r="331" customFormat="false" ht="15" hidden="false" customHeight="false" outlineLevel="0" collapsed="false">
      <c r="A331" s="6" t="s">
        <v>1619</v>
      </c>
      <c r="B331" s="6" t="s">
        <v>1620</v>
      </c>
      <c r="C331" s="6" t="s">
        <v>994</v>
      </c>
      <c r="D331" s="6" t="s">
        <v>1599</v>
      </c>
      <c r="E331" s="6" t="s">
        <v>407</v>
      </c>
      <c r="F331" s="6" t="s">
        <v>1607</v>
      </c>
      <c r="G331" s="6" t="s">
        <v>270</v>
      </c>
      <c r="H331" s="7" t="n">
        <v>100</v>
      </c>
      <c r="I331" s="8" t="n">
        <v>1</v>
      </c>
      <c r="J331" s="9" t="n">
        <v>53.91</v>
      </c>
      <c r="K331" s="8" t="s">
        <v>35</v>
      </c>
      <c r="L331" s="10" t="s">
        <v>98</v>
      </c>
      <c r="M331" s="10" t="s">
        <v>409</v>
      </c>
      <c r="N331" s="10" t="s">
        <v>1590</v>
      </c>
      <c r="O331" s="8" t="str">
        <f aca="false">IF(M331="prescription","Yes","No")</f>
        <v>Yes</v>
      </c>
      <c r="P331" s="6"/>
      <c r="Q331" s="6" t="s">
        <v>1621</v>
      </c>
    </row>
    <row r="332" customFormat="false" ht="15" hidden="false" customHeight="false" outlineLevel="0" collapsed="false">
      <c r="A332" s="6" t="s">
        <v>1622</v>
      </c>
      <c r="B332" s="6" t="s">
        <v>1623</v>
      </c>
      <c r="C332" s="6" t="s">
        <v>472</v>
      </c>
      <c r="D332" s="6" t="s">
        <v>1624</v>
      </c>
      <c r="E332" s="6" t="s">
        <v>95</v>
      </c>
      <c r="F332" s="6" t="s">
        <v>252</v>
      </c>
      <c r="G332" s="6" t="s">
        <v>1595</v>
      </c>
      <c r="H332" s="7" t="n">
        <v>20</v>
      </c>
      <c r="I332" s="8" t="n">
        <v>20</v>
      </c>
      <c r="J332" s="9" t="n">
        <v>77.68</v>
      </c>
      <c r="K332" s="8" t="s">
        <v>35</v>
      </c>
      <c r="L332" s="10" t="s">
        <v>98</v>
      </c>
      <c r="M332" s="10" t="s">
        <v>409</v>
      </c>
      <c r="N332" s="10" t="s">
        <v>1590</v>
      </c>
      <c r="O332" s="8" t="str">
        <f aca="false">IF(M332="prescription","Yes","No")</f>
        <v>Yes</v>
      </c>
      <c r="P332" s="6"/>
      <c r="Q332" s="6" t="s">
        <v>1625</v>
      </c>
    </row>
    <row r="333" customFormat="false" ht="15" hidden="false" customHeight="false" outlineLevel="0" collapsed="false">
      <c r="A333" s="6" t="s">
        <v>1626</v>
      </c>
      <c r="B333" s="6" t="s">
        <v>1627</v>
      </c>
      <c r="C333" s="6" t="s">
        <v>543</v>
      </c>
      <c r="D333" s="6" t="s">
        <v>1628</v>
      </c>
      <c r="E333" s="6" t="s">
        <v>106</v>
      </c>
      <c r="F333" s="6" t="s">
        <v>252</v>
      </c>
      <c r="G333" s="6" t="s">
        <v>270</v>
      </c>
      <c r="H333" s="7" t="n">
        <v>42832</v>
      </c>
      <c r="I333" s="8" t="n">
        <v>10</v>
      </c>
      <c r="J333" s="9" t="n">
        <v>3.4</v>
      </c>
      <c r="K333" s="8" t="s">
        <v>35</v>
      </c>
      <c r="L333" s="10" t="s">
        <v>98</v>
      </c>
      <c r="M333" s="10" t="s">
        <v>409</v>
      </c>
      <c r="N333" s="10" t="s">
        <v>1590</v>
      </c>
      <c r="O333" s="8" t="str">
        <f aca="false">IF(M333="prescription","Yes","No")</f>
        <v>Yes</v>
      </c>
      <c r="P333" s="6"/>
      <c r="Q333" s="6" t="s">
        <v>1629</v>
      </c>
    </row>
    <row r="334" customFormat="false" ht="15" hidden="false" customHeight="false" outlineLevel="0" collapsed="false">
      <c r="A334" s="6" t="s">
        <v>1630</v>
      </c>
      <c r="B334" s="6" t="s">
        <v>1631</v>
      </c>
      <c r="C334" s="6" t="s">
        <v>554</v>
      </c>
      <c r="D334" s="6" t="s">
        <v>1632</v>
      </c>
      <c r="E334" s="6" t="s">
        <v>407</v>
      </c>
      <c r="F334" s="6" t="s">
        <v>1607</v>
      </c>
      <c r="G334" s="6" t="s">
        <v>1595</v>
      </c>
      <c r="H334" s="7" t="n">
        <v>240</v>
      </c>
      <c r="I334" s="8" t="n">
        <v>1</v>
      </c>
      <c r="J334" s="9" t="n">
        <v>21.83</v>
      </c>
      <c r="K334" s="8" t="s">
        <v>35</v>
      </c>
      <c r="L334" s="10" t="s">
        <v>98</v>
      </c>
      <c r="M334" s="10" t="s">
        <v>409</v>
      </c>
      <c r="N334" s="10" t="s">
        <v>1590</v>
      </c>
      <c r="O334" s="8" t="str">
        <f aca="false">IF(M334="prescription","Yes","No")</f>
        <v>Yes</v>
      </c>
      <c r="P334" s="6"/>
      <c r="Q334" s="6" t="s">
        <v>1633</v>
      </c>
    </row>
    <row r="335" customFormat="false" ht="15" hidden="false" customHeight="false" outlineLevel="0" collapsed="false">
      <c r="A335" s="6" t="s">
        <v>1634</v>
      </c>
      <c r="B335" s="6" t="s">
        <v>1635</v>
      </c>
      <c r="C335" s="6" t="s">
        <v>1636</v>
      </c>
      <c r="D335" s="6" t="s">
        <v>1637</v>
      </c>
      <c r="E335" s="6" t="s">
        <v>1638</v>
      </c>
      <c r="F335" s="6" t="s">
        <v>1639</v>
      </c>
      <c r="G335" s="6" t="s">
        <v>1640</v>
      </c>
      <c r="H335" s="7" t="n">
        <v>30</v>
      </c>
      <c r="I335" s="8" t="n">
        <v>6</v>
      </c>
      <c r="J335" s="9" t="n">
        <v>60.42</v>
      </c>
      <c r="K335" s="8" t="s">
        <v>35</v>
      </c>
      <c r="L335" s="10" t="s">
        <v>98</v>
      </c>
      <c r="M335" s="10" t="s">
        <v>409</v>
      </c>
      <c r="N335" s="10" t="s">
        <v>1590</v>
      </c>
      <c r="O335" s="8" t="str">
        <f aca="false">IF(M335="prescription","Yes","No")</f>
        <v>Yes</v>
      </c>
      <c r="P335" s="6"/>
      <c r="Q335" s="6" t="s">
        <v>1641</v>
      </c>
    </row>
    <row r="336" customFormat="false" ht="15" hidden="false" customHeight="false" outlineLevel="0" collapsed="false">
      <c r="A336" s="6" t="s">
        <v>1642</v>
      </c>
      <c r="B336" s="6" t="s">
        <v>1643</v>
      </c>
      <c r="C336" s="6" t="s">
        <v>1636</v>
      </c>
      <c r="D336" s="6" t="s">
        <v>1644</v>
      </c>
      <c r="E336" s="6" t="s">
        <v>375</v>
      </c>
      <c r="F336" s="6" t="s">
        <v>1639</v>
      </c>
      <c r="G336" s="6" t="s">
        <v>1640</v>
      </c>
      <c r="H336" s="7" t="n">
        <v>3</v>
      </c>
      <c r="I336" s="8" t="n">
        <v>1</v>
      </c>
      <c r="J336" s="9" t="n">
        <v>53.47</v>
      </c>
      <c r="K336" s="8" t="s">
        <v>35</v>
      </c>
      <c r="L336" s="10" t="s">
        <v>98</v>
      </c>
      <c r="M336" s="10" t="s">
        <v>409</v>
      </c>
      <c r="N336" s="10" t="s">
        <v>1590</v>
      </c>
      <c r="O336" s="8" t="str">
        <f aca="false">IF(M336="prescription","Yes","No")</f>
        <v>Yes</v>
      </c>
      <c r="P336" s="6"/>
      <c r="Q336" s="6" t="s">
        <v>1645</v>
      </c>
    </row>
    <row r="337" customFormat="false" ht="15" hidden="false" customHeight="false" outlineLevel="0" collapsed="false">
      <c r="A337" s="6" t="s">
        <v>1646</v>
      </c>
      <c r="B337" s="6" t="s">
        <v>1647</v>
      </c>
      <c r="C337" s="6" t="s">
        <v>281</v>
      </c>
      <c r="D337" s="6" t="s">
        <v>1648</v>
      </c>
      <c r="E337" s="6" t="s">
        <v>95</v>
      </c>
      <c r="F337" s="6" t="s">
        <v>252</v>
      </c>
      <c r="G337" s="6" t="s">
        <v>270</v>
      </c>
      <c r="H337" s="7" t="n">
        <v>3148</v>
      </c>
      <c r="I337" s="8" t="n">
        <v>60</v>
      </c>
      <c r="J337" s="9" t="n">
        <v>68.99</v>
      </c>
      <c r="K337" s="8" t="s">
        <v>35</v>
      </c>
      <c r="L337" s="10" t="s">
        <v>98</v>
      </c>
      <c r="M337" s="10" t="s">
        <v>409</v>
      </c>
      <c r="N337" s="10" t="s">
        <v>1590</v>
      </c>
      <c r="O337" s="8" t="str">
        <f aca="false">IF(M337="prescription","Yes","No")</f>
        <v>Yes</v>
      </c>
      <c r="P337" s="6"/>
      <c r="Q337" s="6" t="s">
        <v>1649</v>
      </c>
    </row>
    <row r="338" customFormat="false" ht="15" hidden="false" customHeight="false" outlineLevel="0" collapsed="false">
      <c r="A338" s="6" t="s">
        <v>1650</v>
      </c>
      <c r="B338" s="6" t="s">
        <v>1651</v>
      </c>
      <c r="C338" s="6" t="s">
        <v>1652</v>
      </c>
      <c r="D338" s="6" t="s">
        <v>1653</v>
      </c>
      <c r="E338" s="6" t="s">
        <v>95</v>
      </c>
      <c r="F338" s="6" t="s">
        <v>252</v>
      </c>
      <c r="G338" s="6" t="s">
        <v>1595</v>
      </c>
      <c r="H338" s="7" t="n">
        <v>220</v>
      </c>
      <c r="I338" s="8" t="n">
        <v>10</v>
      </c>
      <c r="J338" s="9" t="n">
        <v>28.51</v>
      </c>
      <c r="K338" s="8" t="s">
        <v>35</v>
      </c>
      <c r="L338" s="10" t="s">
        <v>98</v>
      </c>
      <c r="M338" s="10" t="s">
        <v>409</v>
      </c>
      <c r="N338" s="10" t="s">
        <v>1590</v>
      </c>
      <c r="O338" s="8" t="str">
        <f aca="false">IF(M338="prescription","Yes","No")</f>
        <v>Yes</v>
      </c>
      <c r="P338" s="6"/>
      <c r="Q338" s="6" t="s">
        <v>1654</v>
      </c>
    </row>
    <row r="339" customFormat="false" ht="15" hidden="false" customHeight="false" outlineLevel="0" collapsed="false">
      <c r="A339" s="6" t="s">
        <v>1655</v>
      </c>
      <c r="B339" s="6" t="s">
        <v>1656</v>
      </c>
      <c r="C339" s="6" t="s">
        <v>262</v>
      </c>
      <c r="D339" s="6" t="s">
        <v>1657</v>
      </c>
      <c r="E339" s="6" t="s">
        <v>95</v>
      </c>
      <c r="F339" s="6" t="s">
        <v>1658</v>
      </c>
      <c r="G339" s="6" t="s">
        <v>1659</v>
      </c>
      <c r="H339" s="7" t="n">
        <v>370</v>
      </c>
      <c r="I339" s="8" t="n">
        <v>10</v>
      </c>
      <c r="J339" s="9" t="n">
        <v>21.83</v>
      </c>
      <c r="K339" s="8" t="s">
        <v>35</v>
      </c>
      <c r="L339" s="10" t="s">
        <v>98</v>
      </c>
      <c r="M339" s="10" t="s">
        <v>409</v>
      </c>
      <c r="N339" s="10" t="s">
        <v>1660</v>
      </c>
      <c r="O339" s="8" t="str">
        <f aca="false">IF(M339="prescription","Yes","No")</f>
        <v>Yes</v>
      </c>
      <c r="P339" s="6"/>
      <c r="Q339" s="6" t="s">
        <v>1661</v>
      </c>
    </row>
    <row r="340" customFormat="false" ht="15" hidden="false" customHeight="false" outlineLevel="0" collapsed="false">
      <c r="A340" s="6" t="s">
        <v>1662</v>
      </c>
      <c r="B340" s="6" t="s">
        <v>1663</v>
      </c>
      <c r="C340" s="6" t="s">
        <v>1664</v>
      </c>
      <c r="D340" s="6" t="s">
        <v>1665</v>
      </c>
      <c r="E340" s="6" t="s">
        <v>95</v>
      </c>
      <c r="F340" s="6" t="s">
        <v>1658</v>
      </c>
      <c r="G340" s="6" t="s">
        <v>1659</v>
      </c>
      <c r="H340" s="7" t="n">
        <v>834</v>
      </c>
      <c r="I340" s="8" t="n">
        <v>28</v>
      </c>
      <c r="J340" s="9" t="n">
        <v>86.7</v>
      </c>
      <c r="K340" s="8" t="s">
        <v>35</v>
      </c>
      <c r="L340" s="10" t="s">
        <v>98</v>
      </c>
      <c r="M340" s="10" t="s">
        <v>409</v>
      </c>
      <c r="N340" s="10" t="s">
        <v>1660</v>
      </c>
      <c r="O340" s="8" t="str">
        <f aca="false">IF(M340="prescription","Yes","No")</f>
        <v>Yes</v>
      </c>
      <c r="P340" s="6"/>
      <c r="Q340" s="6" t="s">
        <v>1666</v>
      </c>
    </row>
    <row r="341" customFormat="false" ht="15" hidden="false" customHeight="false" outlineLevel="0" collapsed="false">
      <c r="A341" s="6" t="s">
        <v>1667</v>
      </c>
      <c r="B341" s="6" t="s">
        <v>1668</v>
      </c>
      <c r="C341" s="6" t="s">
        <v>952</v>
      </c>
      <c r="D341" s="6" t="s">
        <v>1669</v>
      </c>
      <c r="E341" s="6" t="s">
        <v>95</v>
      </c>
      <c r="F341" s="6" t="s">
        <v>1658</v>
      </c>
      <c r="G341" s="6" t="s">
        <v>1670</v>
      </c>
      <c r="H341" s="7" t="n">
        <v>2345</v>
      </c>
      <c r="I341" s="8" t="n">
        <v>10</v>
      </c>
      <c r="J341" s="9" t="n">
        <v>77.68</v>
      </c>
      <c r="K341" s="8" t="s">
        <v>35</v>
      </c>
      <c r="L341" s="10" t="s">
        <v>98</v>
      </c>
      <c r="M341" s="10" t="s">
        <v>409</v>
      </c>
      <c r="N341" s="10" t="s">
        <v>1660</v>
      </c>
      <c r="O341" s="8" t="str">
        <f aca="false">IF(M341="prescription","Yes","No")</f>
        <v>Yes</v>
      </c>
      <c r="P341" s="6"/>
      <c r="Q341" s="6" t="s">
        <v>1671</v>
      </c>
    </row>
    <row r="342" customFormat="false" ht="15" hidden="false" customHeight="false" outlineLevel="0" collapsed="false">
      <c r="A342" s="6" t="s">
        <v>1672</v>
      </c>
      <c r="B342" s="6" t="s">
        <v>1673</v>
      </c>
      <c r="C342" s="6" t="s">
        <v>709</v>
      </c>
      <c r="D342" s="6" t="s">
        <v>1674</v>
      </c>
      <c r="E342" s="6" t="s">
        <v>95</v>
      </c>
      <c r="F342" s="6" t="s">
        <v>1658</v>
      </c>
      <c r="G342" s="6" t="s">
        <v>1659</v>
      </c>
      <c r="H342" s="7" t="n">
        <v>6410</v>
      </c>
      <c r="I342" s="8" t="n">
        <v>30</v>
      </c>
      <c r="J342" s="9" t="n">
        <v>170.65</v>
      </c>
      <c r="K342" s="8" t="s">
        <v>35</v>
      </c>
      <c r="L342" s="10" t="s">
        <v>98</v>
      </c>
      <c r="M342" s="10" t="s">
        <v>409</v>
      </c>
      <c r="N342" s="10" t="s">
        <v>1660</v>
      </c>
      <c r="O342" s="8" t="str">
        <f aca="false">IF(M342="prescription","Yes","No")</f>
        <v>Yes</v>
      </c>
      <c r="P342" s="6"/>
      <c r="Q342" s="6" t="s">
        <v>1675</v>
      </c>
    </row>
    <row r="343" customFormat="false" ht="15" hidden="false" customHeight="false" outlineLevel="0" collapsed="false">
      <c r="A343" s="6" t="s">
        <v>1676</v>
      </c>
      <c r="B343" s="6" t="s">
        <v>1677</v>
      </c>
      <c r="C343" s="6" t="s">
        <v>669</v>
      </c>
      <c r="D343" s="6" t="s">
        <v>1678</v>
      </c>
      <c r="E343" s="6" t="s">
        <v>407</v>
      </c>
      <c r="F343" s="6" t="s">
        <v>1679</v>
      </c>
      <c r="G343" s="6" t="s">
        <v>1680</v>
      </c>
      <c r="H343" s="7" t="n">
        <v>4032</v>
      </c>
      <c r="I343" s="8" t="n">
        <v>1</v>
      </c>
      <c r="J343" s="9" t="n">
        <v>8.18</v>
      </c>
      <c r="K343" s="8" t="s">
        <v>35</v>
      </c>
      <c r="L343" s="10" t="s">
        <v>98</v>
      </c>
      <c r="M343" s="10" t="s">
        <v>409</v>
      </c>
      <c r="N343" s="10" t="s">
        <v>1681</v>
      </c>
      <c r="O343" s="8" t="str">
        <f aca="false">IF(M343="prescription","Yes","No")</f>
        <v>Yes</v>
      </c>
      <c r="P343" s="6" t="s">
        <v>1682</v>
      </c>
      <c r="Q343" s="6" t="s">
        <v>1683</v>
      </c>
    </row>
    <row r="344" customFormat="false" ht="15" hidden="false" customHeight="false" outlineLevel="0" collapsed="false">
      <c r="A344" s="6" t="s">
        <v>1684</v>
      </c>
      <c r="B344" s="6" t="s">
        <v>1685</v>
      </c>
      <c r="C344" s="6" t="s">
        <v>1212</v>
      </c>
      <c r="D344" s="6" t="s">
        <v>1686</v>
      </c>
      <c r="E344" s="6" t="s">
        <v>95</v>
      </c>
      <c r="F344" s="6" t="s">
        <v>1687</v>
      </c>
      <c r="G344" s="6" t="s">
        <v>1688</v>
      </c>
      <c r="H344" s="7" t="n">
        <v>250</v>
      </c>
      <c r="I344" s="8" t="n">
        <v>7</v>
      </c>
      <c r="J344" s="9" t="n">
        <v>665.97</v>
      </c>
      <c r="K344" s="8" t="s">
        <v>35</v>
      </c>
      <c r="L344" s="10" t="s">
        <v>98</v>
      </c>
      <c r="M344" s="10" t="s">
        <v>409</v>
      </c>
      <c r="N344" s="10" t="s">
        <v>1681</v>
      </c>
      <c r="O344" s="8" t="str">
        <f aca="false">IF(M344="prescription","Yes","No")</f>
        <v>Yes</v>
      </c>
      <c r="P344" s="6"/>
      <c r="Q344" s="6" t="s">
        <v>1689</v>
      </c>
    </row>
    <row r="345" customFormat="false" ht="15" hidden="false" customHeight="false" outlineLevel="0" collapsed="false">
      <c r="A345" s="6" t="s">
        <v>1690</v>
      </c>
      <c r="B345" s="6" t="s">
        <v>1691</v>
      </c>
      <c r="C345" s="6" t="s">
        <v>1692</v>
      </c>
      <c r="D345" s="6" t="s">
        <v>1686</v>
      </c>
      <c r="E345" s="6" t="s">
        <v>95</v>
      </c>
      <c r="F345" s="6" t="s">
        <v>1687</v>
      </c>
      <c r="G345" s="6" t="s">
        <v>1688</v>
      </c>
      <c r="H345" s="7" t="n">
        <v>834</v>
      </c>
      <c r="I345" s="8" t="n">
        <v>7</v>
      </c>
      <c r="J345" s="9" t="n">
        <v>665.97</v>
      </c>
      <c r="K345" s="8" t="s">
        <v>35</v>
      </c>
      <c r="L345" s="10" t="s">
        <v>98</v>
      </c>
      <c r="M345" s="10" t="s">
        <v>409</v>
      </c>
      <c r="N345" s="10" t="s">
        <v>1681</v>
      </c>
      <c r="O345" s="8" t="str">
        <f aca="false">IF(M345="prescription","Yes","No")</f>
        <v>Yes</v>
      </c>
      <c r="P345" s="6"/>
      <c r="Q345" s="6" t="s">
        <v>1693</v>
      </c>
    </row>
    <row r="346" customFormat="false" ht="15" hidden="false" customHeight="false" outlineLevel="0" collapsed="false">
      <c r="A346" s="6" t="s">
        <v>1694</v>
      </c>
      <c r="B346" s="6" t="s">
        <v>1695</v>
      </c>
      <c r="C346" s="6" t="s">
        <v>1363</v>
      </c>
      <c r="D346" s="6" t="s">
        <v>1696</v>
      </c>
      <c r="E346" s="6" t="s">
        <v>407</v>
      </c>
      <c r="F346" s="6" t="s">
        <v>1679</v>
      </c>
      <c r="G346" s="6" t="s">
        <v>1680</v>
      </c>
      <c r="H346" s="7" t="n">
        <v>58</v>
      </c>
      <c r="I346" s="8" t="n">
        <v>1</v>
      </c>
      <c r="J346" s="9" t="n">
        <v>85.2</v>
      </c>
      <c r="K346" s="8" t="s">
        <v>35</v>
      </c>
      <c r="L346" s="10" t="s">
        <v>98</v>
      </c>
      <c r="M346" s="10" t="s">
        <v>409</v>
      </c>
      <c r="N346" s="10" t="s">
        <v>1681</v>
      </c>
      <c r="O346" s="8" t="str">
        <f aca="false">IF(M346="prescription","Yes","No")</f>
        <v>Yes</v>
      </c>
      <c r="P346" s="6" t="s">
        <v>1682</v>
      </c>
      <c r="Q346" s="6" t="s">
        <v>1697</v>
      </c>
    </row>
    <row r="347" customFormat="false" ht="15" hidden="false" customHeight="false" outlineLevel="0" collapsed="false">
      <c r="A347" s="6" t="s">
        <v>1698</v>
      </c>
      <c r="B347" s="6" t="s">
        <v>1699</v>
      </c>
      <c r="C347" s="6" t="s">
        <v>1024</v>
      </c>
      <c r="D347" s="6" t="s">
        <v>1700</v>
      </c>
      <c r="E347" s="6" t="s">
        <v>407</v>
      </c>
      <c r="F347" s="6" t="s">
        <v>1701</v>
      </c>
      <c r="G347" s="6" t="s">
        <v>1702</v>
      </c>
      <c r="H347" s="7" t="n">
        <v>1</v>
      </c>
      <c r="I347" s="8" t="n">
        <v>1</v>
      </c>
      <c r="J347" s="9" t="n">
        <v>489.88</v>
      </c>
      <c r="K347" s="8" t="s">
        <v>35</v>
      </c>
      <c r="L347" s="10" t="s">
        <v>98</v>
      </c>
      <c r="M347" s="10" t="s">
        <v>409</v>
      </c>
      <c r="N347" s="10" t="s">
        <v>1681</v>
      </c>
      <c r="O347" s="8" t="str">
        <f aca="false">IF(M347="prescription","Yes","No")</f>
        <v>Yes</v>
      </c>
      <c r="P347" s="6"/>
      <c r="Q347" s="6" t="s">
        <v>1703</v>
      </c>
    </row>
    <row r="348" customFormat="false" ht="15" hidden="false" customHeight="false" outlineLevel="0" collapsed="false">
      <c r="A348" s="6" t="s">
        <v>1704</v>
      </c>
      <c r="B348" s="6" t="s">
        <v>1705</v>
      </c>
      <c r="C348" s="6" t="s">
        <v>1706</v>
      </c>
      <c r="D348" s="6" t="s">
        <v>1707</v>
      </c>
      <c r="E348" s="6" t="s">
        <v>407</v>
      </c>
      <c r="F348" s="6" t="s">
        <v>1701</v>
      </c>
      <c r="G348" s="6" t="s">
        <v>1708</v>
      </c>
      <c r="H348" s="7" t="n">
        <v>10</v>
      </c>
      <c r="I348" s="8" t="n">
        <v>1</v>
      </c>
      <c r="J348" s="9" t="n">
        <v>1234.1</v>
      </c>
      <c r="K348" s="8" t="s">
        <v>35</v>
      </c>
      <c r="L348" s="10" t="s">
        <v>98</v>
      </c>
      <c r="M348" s="10" t="s">
        <v>409</v>
      </c>
      <c r="N348" s="10" t="s">
        <v>1681</v>
      </c>
      <c r="O348" s="8" t="str">
        <f aca="false">IF(M348="prescription","Yes","No")</f>
        <v>Yes</v>
      </c>
      <c r="P348" s="6"/>
      <c r="Q348" s="6" t="s">
        <v>1709</v>
      </c>
    </row>
    <row r="349" customFormat="false" ht="15" hidden="false" customHeight="false" outlineLevel="0" collapsed="false">
      <c r="A349" s="6" t="s">
        <v>1710</v>
      </c>
      <c r="B349" s="6" t="s">
        <v>1711</v>
      </c>
      <c r="C349" s="6" t="s">
        <v>1712</v>
      </c>
      <c r="D349" s="6" t="s">
        <v>1713</v>
      </c>
      <c r="E349" s="6" t="s">
        <v>95</v>
      </c>
      <c r="F349" s="6" t="s">
        <v>1687</v>
      </c>
      <c r="G349" s="6" t="s">
        <v>1688</v>
      </c>
      <c r="H349" s="7" t="n">
        <v>180</v>
      </c>
      <c r="I349" s="8" t="n">
        <v>10</v>
      </c>
      <c r="J349" s="9" t="n">
        <v>168.54</v>
      </c>
      <c r="K349" s="8" t="s">
        <v>35</v>
      </c>
      <c r="L349" s="10" t="s">
        <v>98</v>
      </c>
      <c r="M349" s="10" t="s">
        <v>409</v>
      </c>
      <c r="N349" s="10" t="s">
        <v>1681</v>
      </c>
      <c r="O349" s="8" t="str">
        <f aca="false">IF(M349="prescription","Yes","No")</f>
        <v>Yes</v>
      </c>
      <c r="P349" s="6"/>
      <c r="Q349" s="6" t="s">
        <v>1714</v>
      </c>
    </row>
    <row r="350" customFormat="false" ht="15" hidden="false" customHeight="false" outlineLevel="0" collapsed="false">
      <c r="A350" s="6" t="s">
        <v>1715</v>
      </c>
      <c r="B350" s="6" t="s">
        <v>1716</v>
      </c>
      <c r="C350" s="6" t="s">
        <v>1132</v>
      </c>
      <c r="D350" s="6" t="s">
        <v>1717</v>
      </c>
      <c r="E350" s="6" t="s">
        <v>407</v>
      </c>
      <c r="F350" s="6" t="s">
        <v>1701</v>
      </c>
      <c r="G350" s="6" t="s">
        <v>1718</v>
      </c>
      <c r="H350" s="7" t="n">
        <v>102</v>
      </c>
      <c r="I350" s="8" t="n">
        <v>1</v>
      </c>
      <c r="J350" s="9" t="n">
        <v>347.51</v>
      </c>
      <c r="K350" s="8" t="s">
        <v>35</v>
      </c>
      <c r="L350" s="10" t="s">
        <v>98</v>
      </c>
      <c r="M350" s="10" t="s">
        <v>409</v>
      </c>
      <c r="N350" s="10" t="s">
        <v>1681</v>
      </c>
      <c r="O350" s="8" t="str">
        <f aca="false">IF(M350="prescription","Yes","No")</f>
        <v>Yes</v>
      </c>
      <c r="P350" s="6"/>
      <c r="Q350" s="6" t="s">
        <v>1719</v>
      </c>
    </row>
    <row r="351" customFormat="false" ht="15" hidden="false" customHeight="false" outlineLevel="0" collapsed="false">
      <c r="A351" s="6" t="s">
        <v>1720</v>
      </c>
      <c r="B351" s="6" t="s">
        <v>1721</v>
      </c>
      <c r="C351" s="6" t="s">
        <v>1722</v>
      </c>
      <c r="D351" s="6" t="s">
        <v>1723</v>
      </c>
      <c r="E351" s="6" t="s">
        <v>407</v>
      </c>
      <c r="F351" s="6" t="s">
        <v>1724</v>
      </c>
      <c r="G351" s="6" t="s">
        <v>1725</v>
      </c>
      <c r="H351" s="7" t="n">
        <v>500</v>
      </c>
      <c r="I351" s="8" t="n">
        <v>10</v>
      </c>
      <c r="J351" s="9" t="n">
        <v>136.23</v>
      </c>
      <c r="K351" s="8" t="s">
        <v>35</v>
      </c>
      <c r="L351" s="10" t="s">
        <v>98</v>
      </c>
      <c r="M351" s="10" t="s">
        <v>409</v>
      </c>
      <c r="N351" s="10" t="s">
        <v>1726</v>
      </c>
      <c r="O351" s="8" t="str">
        <f aca="false">IF(M351="prescription","Yes","No")</f>
        <v>Yes</v>
      </c>
      <c r="P351" s="6"/>
      <c r="Q351" s="6" t="s">
        <v>1727</v>
      </c>
    </row>
    <row r="352" customFormat="false" ht="15" hidden="false" customHeight="false" outlineLevel="0" collapsed="false">
      <c r="A352" s="6" t="s">
        <v>1728</v>
      </c>
      <c r="B352" s="6" t="s">
        <v>1729</v>
      </c>
      <c r="C352" s="6" t="s">
        <v>1722</v>
      </c>
      <c r="D352" s="6" t="s">
        <v>1730</v>
      </c>
      <c r="E352" s="6" t="s">
        <v>106</v>
      </c>
      <c r="F352" s="6" t="s">
        <v>1724</v>
      </c>
      <c r="G352" s="6" t="s">
        <v>1725</v>
      </c>
      <c r="H352" s="7" t="n">
        <v>1000</v>
      </c>
      <c r="I352" s="8" t="n">
        <v>10</v>
      </c>
      <c r="J352" s="9" t="n">
        <v>204.3</v>
      </c>
      <c r="K352" s="8" t="s">
        <v>35</v>
      </c>
      <c r="L352" s="10" t="s">
        <v>98</v>
      </c>
      <c r="M352" s="10" t="s">
        <v>409</v>
      </c>
      <c r="N352" s="10" t="s">
        <v>1726</v>
      </c>
      <c r="O352" s="8" t="str">
        <f aca="false">IF(M352="prescription","Yes","No")</f>
        <v>Yes</v>
      </c>
      <c r="P352" s="6"/>
      <c r="Q352" s="6" t="s">
        <v>1731</v>
      </c>
    </row>
    <row r="353" customFormat="false" ht="15" hidden="false" customHeight="false" outlineLevel="0" collapsed="false">
      <c r="A353" s="6" t="s">
        <v>1732</v>
      </c>
      <c r="B353" s="6" t="s">
        <v>1733</v>
      </c>
      <c r="C353" s="6" t="s">
        <v>1722</v>
      </c>
      <c r="D353" s="6" t="s">
        <v>1734</v>
      </c>
      <c r="E353" s="6" t="s">
        <v>106</v>
      </c>
      <c r="F353" s="6" t="s">
        <v>1724</v>
      </c>
      <c r="G353" s="6" t="s">
        <v>1725</v>
      </c>
      <c r="H353" s="7" t="n">
        <v>1000</v>
      </c>
      <c r="I353" s="8" t="n">
        <v>10</v>
      </c>
      <c r="J353" s="9" t="n">
        <v>323.84</v>
      </c>
      <c r="K353" s="8" t="s">
        <v>35</v>
      </c>
      <c r="L353" s="10" t="s">
        <v>98</v>
      </c>
      <c r="M353" s="10" t="s">
        <v>409</v>
      </c>
      <c r="N353" s="10" t="s">
        <v>1726</v>
      </c>
      <c r="O353" s="8" t="str">
        <f aca="false">IF(M353="prescription","Yes","No")</f>
        <v>Yes</v>
      </c>
      <c r="P353" s="6"/>
      <c r="Q353" s="6" t="s">
        <v>1735</v>
      </c>
    </row>
    <row r="354" customFormat="false" ht="15" hidden="false" customHeight="false" outlineLevel="0" collapsed="false">
      <c r="A354" s="6" t="s">
        <v>1736</v>
      </c>
      <c r="B354" s="6" t="s">
        <v>1737</v>
      </c>
      <c r="C354" s="6" t="s">
        <v>1738</v>
      </c>
      <c r="D354" s="6" t="s">
        <v>1739</v>
      </c>
      <c r="E354" s="6" t="s">
        <v>95</v>
      </c>
      <c r="F354" s="6" t="s">
        <v>1724</v>
      </c>
      <c r="G354" s="6" t="s">
        <v>1725</v>
      </c>
      <c r="H354" s="7" t="n">
        <v>620</v>
      </c>
      <c r="I354" s="8" t="n">
        <v>10</v>
      </c>
      <c r="J354" s="9" t="n">
        <v>455.43</v>
      </c>
      <c r="K354" s="8" t="s">
        <v>35</v>
      </c>
      <c r="L354" s="10" t="s">
        <v>98</v>
      </c>
      <c r="M354" s="10" t="s">
        <v>409</v>
      </c>
      <c r="N354" s="10" t="s">
        <v>1726</v>
      </c>
      <c r="O354" s="8" t="str">
        <f aca="false">IF(M354="prescription","Yes","No")</f>
        <v>Yes</v>
      </c>
      <c r="P354" s="6"/>
      <c r="Q354" s="6" t="s">
        <v>1740</v>
      </c>
    </row>
    <row r="355" customFormat="false" ht="15" hidden="false" customHeight="false" outlineLevel="0" collapsed="false">
      <c r="A355" s="6" t="s">
        <v>1741</v>
      </c>
      <c r="B355" s="6" t="s">
        <v>1742</v>
      </c>
      <c r="C355" s="6" t="s">
        <v>1743</v>
      </c>
      <c r="D355" s="6" t="s">
        <v>1744</v>
      </c>
      <c r="E355" s="6" t="s">
        <v>95</v>
      </c>
      <c r="F355" s="6" t="s">
        <v>1724</v>
      </c>
      <c r="G355" s="6" t="s">
        <v>1725</v>
      </c>
      <c r="H355" s="7" t="n">
        <v>410</v>
      </c>
      <c r="I355" s="8" t="n">
        <v>60</v>
      </c>
      <c r="J355" s="9" t="n">
        <v>982.8</v>
      </c>
      <c r="K355" s="8" t="s">
        <v>35</v>
      </c>
      <c r="L355" s="10" t="s">
        <v>98</v>
      </c>
      <c r="M355" s="10" t="s">
        <v>409</v>
      </c>
      <c r="N355" s="10" t="s">
        <v>1726</v>
      </c>
      <c r="O355" s="8" t="str">
        <f aca="false">IF(M355="prescription","Yes","No")</f>
        <v>Yes</v>
      </c>
      <c r="P355" s="6"/>
      <c r="Q355" s="6" t="s">
        <v>1745</v>
      </c>
    </row>
    <row r="356" customFormat="false" ht="15" hidden="false" customHeight="false" outlineLevel="0" collapsed="false">
      <c r="A356" s="6" t="s">
        <v>1746</v>
      </c>
      <c r="B356" s="6" t="s">
        <v>1747</v>
      </c>
      <c r="C356" s="6" t="s">
        <v>1743</v>
      </c>
      <c r="D356" s="6" t="s">
        <v>1748</v>
      </c>
      <c r="E356" s="6" t="s">
        <v>95</v>
      </c>
      <c r="F356" s="6" t="s">
        <v>1724</v>
      </c>
      <c r="G356" s="6" t="s">
        <v>1725</v>
      </c>
      <c r="H356" s="7" t="n">
        <v>60</v>
      </c>
      <c r="I356" s="8" t="n">
        <v>10</v>
      </c>
      <c r="J356" s="9" t="n">
        <v>443.35</v>
      </c>
      <c r="K356" s="8" t="s">
        <v>35</v>
      </c>
      <c r="L356" s="10" t="s">
        <v>98</v>
      </c>
      <c r="M356" s="10" t="s">
        <v>409</v>
      </c>
      <c r="N356" s="10" t="s">
        <v>1726</v>
      </c>
      <c r="O356" s="8" t="str">
        <f aca="false">IF(M356="prescription","Yes","No")</f>
        <v>Yes</v>
      </c>
      <c r="P356" s="6"/>
      <c r="Q356" s="6" t="s">
        <v>1749</v>
      </c>
    </row>
    <row r="357" customFormat="false" ht="15" hidden="false" customHeight="false" outlineLevel="0" collapsed="false">
      <c r="A357" s="6" t="s">
        <v>1750</v>
      </c>
      <c r="B357" s="6" t="s">
        <v>1751</v>
      </c>
      <c r="C357" s="6" t="s">
        <v>1132</v>
      </c>
      <c r="D357" s="6" t="s">
        <v>1748</v>
      </c>
      <c r="E357" s="6" t="s">
        <v>95</v>
      </c>
      <c r="F357" s="6" t="s">
        <v>1724</v>
      </c>
      <c r="G357" s="6" t="s">
        <v>1725</v>
      </c>
      <c r="H357" s="7" t="n">
        <v>9600</v>
      </c>
      <c r="I357" s="8" t="n">
        <v>10</v>
      </c>
      <c r="J357" s="9" t="n">
        <v>269.43</v>
      </c>
      <c r="K357" s="8" t="s">
        <v>35</v>
      </c>
      <c r="L357" s="10" t="s">
        <v>98</v>
      </c>
      <c r="M357" s="10" t="s">
        <v>409</v>
      </c>
      <c r="N357" s="10" t="s">
        <v>1726</v>
      </c>
      <c r="O357" s="8" t="str">
        <f aca="false">IF(M357="prescription","Yes","No")</f>
        <v>Yes</v>
      </c>
      <c r="P357" s="6"/>
      <c r="Q357" s="6" t="s">
        <v>1752</v>
      </c>
    </row>
    <row r="358" customFormat="false" ht="15" hidden="false" customHeight="false" outlineLevel="0" collapsed="false">
      <c r="A358" s="6" t="s">
        <v>1753</v>
      </c>
      <c r="B358" s="6" t="s">
        <v>1754</v>
      </c>
      <c r="C358" s="6" t="s">
        <v>1132</v>
      </c>
      <c r="D358" s="6" t="s">
        <v>1744</v>
      </c>
      <c r="E358" s="6" t="s">
        <v>95</v>
      </c>
      <c r="F358" s="6" t="s">
        <v>1724</v>
      </c>
      <c r="G358" s="6" t="s">
        <v>1725</v>
      </c>
      <c r="H358" s="7" t="n">
        <v>6060</v>
      </c>
      <c r="I358" s="8" t="n">
        <v>10</v>
      </c>
      <c r="J358" s="9" t="n">
        <v>269.43</v>
      </c>
      <c r="K358" s="8" t="s">
        <v>35</v>
      </c>
      <c r="L358" s="10" t="s">
        <v>98</v>
      </c>
      <c r="M358" s="10" t="s">
        <v>409</v>
      </c>
      <c r="N358" s="10" t="s">
        <v>1726</v>
      </c>
      <c r="O358" s="8" t="str">
        <f aca="false">IF(M358="prescription","Yes","No")</f>
        <v>Yes</v>
      </c>
      <c r="P358" s="6"/>
      <c r="Q358" s="6" t="s">
        <v>1755</v>
      </c>
    </row>
    <row r="359" customFormat="false" ht="15" hidden="false" customHeight="false" outlineLevel="0" collapsed="false">
      <c r="A359" s="6" t="s">
        <v>1756</v>
      </c>
      <c r="B359" s="6" t="s">
        <v>1757</v>
      </c>
      <c r="C359" s="6" t="s">
        <v>125</v>
      </c>
      <c r="D359" s="6" t="s">
        <v>1723</v>
      </c>
      <c r="E359" s="6" t="s">
        <v>106</v>
      </c>
      <c r="F359" s="6" t="s">
        <v>1724</v>
      </c>
      <c r="G359" s="6" t="s">
        <v>1725</v>
      </c>
      <c r="H359" s="7" t="n">
        <v>360</v>
      </c>
      <c r="I359" s="8" t="n">
        <v>10</v>
      </c>
      <c r="J359" s="9" t="n">
        <v>103.79</v>
      </c>
      <c r="K359" s="8" t="s">
        <v>35</v>
      </c>
      <c r="L359" s="10" t="s">
        <v>98</v>
      </c>
      <c r="M359" s="10" t="s">
        <v>409</v>
      </c>
      <c r="N359" s="10" t="s">
        <v>1726</v>
      </c>
      <c r="O359" s="8" t="str">
        <f aca="false">IF(M359="prescription","Yes","No")</f>
        <v>Yes</v>
      </c>
      <c r="P359" s="6"/>
      <c r="Q359" s="6" t="s">
        <v>1758</v>
      </c>
    </row>
    <row r="360" customFormat="false" ht="15" hidden="false" customHeight="false" outlineLevel="0" collapsed="false">
      <c r="A360" s="6" t="s">
        <v>1759</v>
      </c>
      <c r="B360" s="6" t="s">
        <v>1760</v>
      </c>
      <c r="C360" s="6" t="s">
        <v>125</v>
      </c>
      <c r="D360" s="6" t="s">
        <v>1730</v>
      </c>
      <c r="E360" s="6" t="s">
        <v>106</v>
      </c>
      <c r="F360" s="6" t="s">
        <v>1724</v>
      </c>
      <c r="G360" s="6" t="s">
        <v>1725</v>
      </c>
      <c r="H360" s="7" t="n">
        <v>490</v>
      </c>
      <c r="I360" s="8" t="n">
        <v>10</v>
      </c>
      <c r="J360" s="9" t="n">
        <v>165.03</v>
      </c>
      <c r="K360" s="8" t="s">
        <v>35</v>
      </c>
      <c r="L360" s="10" t="s">
        <v>98</v>
      </c>
      <c r="M360" s="10" t="s">
        <v>409</v>
      </c>
      <c r="N360" s="10" t="s">
        <v>1726</v>
      </c>
      <c r="O360" s="8" t="str">
        <f aca="false">IF(M360="prescription","Yes","No")</f>
        <v>Yes</v>
      </c>
      <c r="P360" s="6"/>
      <c r="Q360" s="6" t="s">
        <v>1761</v>
      </c>
    </row>
    <row r="361" customFormat="false" ht="15" hidden="false" customHeight="false" outlineLevel="0" collapsed="false">
      <c r="A361" s="6" t="s">
        <v>1762</v>
      </c>
      <c r="B361" s="6" t="s">
        <v>1763</v>
      </c>
      <c r="C361" s="6" t="s">
        <v>125</v>
      </c>
      <c r="D361" s="6" t="s">
        <v>1734</v>
      </c>
      <c r="E361" s="6" t="s">
        <v>106</v>
      </c>
      <c r="F361" s="6" t="s">
        <v>1724</v>
      </c>
      <c r="G361" s="6" t="s">
        <v>1725</v>
      </c>
      <c r="H361" s="7" t="n">
        <v>300</v>
      </c>
      <c r="I361" s="8" t="n">
        <v>10</v>
      </c>
      <c r="J361" s="9" t="n">
        <v>165.03</v>
      </c>
      <c r="K361" s="8" t="s">
        <v>35</v>
      </c>
      <c r="L361" s="10" t="s">
        <v>98</v>
      </c>
      <c r="M361" s="10" t="s">
        <v>409</v>
      </c>
      <c r="N361" s="10" t="s">
        <v>1726</v>
      </c>
      <c r="O361" s="8" t="str">
        <f aca="false">IF(M361="prescription","Yes","No")</f>
        <v>Yes</v>
      </c>
      <c r="P361" s="6"/>
      <c r="Q361" s="6" t="s">
        <v>1764</v>
      </c>
    </row>
    <row r="362" customFormat="false" ht="15" hidden="false" customHeight="false" outlineLevel="0" collapsed="false">
      <c r="A362" s="6" t="s">
        <v>1765</v>
      </c>
      <c r="B362" s="6" t="s">
        <v>1766</v>
      </c>
      <c r="C362" s="6" t="s">
        <v>1767</v>
      </c>
      <c r="D362" s="6" t="s">
        <v>1768</v>
      </c>
      <c r="E362" s="6" t="s">
        <v>106</v>
      </c>
      <c r="F362" s="6" t="s">
        <v>1724</v>
      </c>
      <c r="G362" s="6" t="s">
        <v>1725</v>
      </c>
      <c r="H362" s="7" t="n">
        <v>2630</v>
      </c>
      <c r="I362" s="8" t="n">
        <v>10</v>
      </c>
      <c r="J362" s="9" t="n">
        <v>489.88</v>
      </c>
      <c r="K362" s="8" t="s">
        <v>35</v>
      </c>
      <c r="L362" s="10" t="s">
        <v>98</v>
      </c>
      <c r="M362" s="10" t="s">
        <v>409</v>
      </c>
      <c r="N362" s="10" t="s">
        <v>1726</v>
      </c>
      <c r="O362" s="8" t="str">
        <f aca="false">IF(M362="prescription","Yes","No")</f>
        <v>Yes</v>
      </c>
      <c r="P362" s="6"/>
      <c r="Q362" s="6" t="s">
        <v>1769</v>
      </c>
    </row>
    <row r="363" customFormat="false" ht="15" hidden="false" customHeight="false" outlineLevel="0" collapsed="false">
      <c r="A363" s="6" t="s">
        <v>1770</v>
      </c>
      <c r="B363" s="6" t="s">
        <v>1771</v>
      </c>
      <c r="C363" s="6" t="s">
        <v>1767</v>
      </c>
      <c r="D363" s="6" t="s">
        <v>1772</v>
      </c>
      <c r="E363" s="6" t="s">
        <v>106</v>
      </c>
      <c r="F363" s="6" t="s">
        <v>1724</v>
      </c>
      <c r="G363" s="6" t="s">
        <v>1725</v>
      </c>
      <c r="H363" s="7" t="n">
        <v>3740</v>
      </c>
      <c r="I363" s="8" t="n">
        <v>10</v>
      </c>
      <c r="J363" s="9" t="n">
        <v>301.27</v>
      </c>
      <c r="K363" s="8" t="s">
        <v>35</v>
      </c>
      <c r="L363" s="10" t="s">
        <v>98</v>
      </c>
      <c r="M363" s="10" t="s">
        <v>409</v>
      </c>
      <c r="N363" s="10" t="s">
        <v>1726</v>
      </c>
      <c r="O363" s="8" t="str">
        <f aca="false">IF(M363="prescription","Yes","No")</f>
        <v>Yes</v>
      </c>
      <c r="P363" s="6"/>
      <c r="Q363" s="6" t="s">
        <v>1773</v>
      </c>
    </row>
    <row r="364" customFormat="false" ht="15" hidden="false" customHeight="false" outlineLevel="0" collapsed="false">
      <c r="A364" s="6" t="s">
        <v>1774</v>
      </c>
      <c r="B364" s="6" t="s">
        <v>1775</v>
      </c>
      <c r="C364" s="6" t="s">
        <v>1132</v>
      </c>
      <c r="D364" s="6" t="s">
        <v>1723</v>
      </c>
      <c r="E364" s="6" t="s">
        <v>106</v>
      </c>
      <c r="F364" s="6" t="s">
        <v>1724</v>
      </c>
      <c r="G364" s="6" t="s">
        <v>1725</v>
      </c>
      <c r="H364" s="7" t="n">
        <v>1620</v>
      </c>
      <c r="I364" s="8" t="n">
        <v>10</v>
      </c>
      <c r="J364" s="9" t="n">
        <v>141.97</v>
      </c>
      <c r="K364" s="8" t="s">
        <v>35</v>
      </c>
      <c r="L364" s="10" t="s">
        <v>98</v>
      </c>
      <c r="M364" s="10" t="s">
        <v>409</v>
      </c>
      <c r="N364" s="10" t="s">
        <v>1726</v>
      </c>
      <c r="O364" s="8" t="str">
        <f aca="false">IF(M364="prescription","Yes","No")</f>
        <v>Yes</v>
      </c>
      <c r="P364" s="6"/>
      <c r="Q364" s="6" t="s">
        <v>1776</v>
      </c>
    </row>
    <row r="365" customFormat="false" ht="15" hidden="false" customHeight="false" outlineLevel="0" collapsed="false">
      <c r="A365" s="6" t="s">
        <v>1777</v>
      </c>
      <c r="B365" s="6" t="s">
        <v>1778</v>
      </c>
      <c r="C365" s="6" t="s">
        <v>1132</v>
      </c>
      <c r="D365" s="6" t="s">
        <v>1734</v>
      </c>
      <c r="E365" s="6" t="s">
        <v>106</v>
      </c>
      <c r="F365" s="6" t="s">
        <v>1724</v>
      </c>
      <c r="G365" s="6" t="s">
        <v>1725</v>
      </c>
      <c r="H365" s="7" t="n">
        <v>3000</v>
      </c>
      <c r="I365" s="8" t="n">
        <v>10</v>
      </c>
      <c r="J365" s="9" t="n">
        <v>262.31</v>
      </c>
      <c r="K365" s="8" t="s">
        <v>35</v>
      </c>
      <c r="L365" s="10" t="s">
        <v>98</v>
      </c>
      <c r="M365" s="10" t="s">
        <v>409</v>
      </c>
      <c r="N365" s="10" t="s">
        <v>1726</v>
      </c>
      <c r="O365" s="8" t="str">
        <f aca="false">IF(M365="prescription","Yes","No")</f>
        <v>Yes</v>
      </c>
      <c r="P365" s="6"/>
      <c r="Q365" s="6" t="s">
        <v>1779</v>
      </c>
    </row>
    <row r="366" customFormat="false" ht="15" hidden="false" customHeight="false" outlineLevel="0" collapsed="false">
      <c r="A366" s="6" t="s">
        <v>1780</v>
      </c>
      <c r="B366" s="6" t="s">
        <v>1781</v>
      </c>
      <c r="C366" s="6" t="s">
        <v>1132</v>
      </c>
      <c r="D366" s="6" t="s">
        <v>1730</v>
      </c>
      <c r="E366" s="6" t="s">
        <v>106</v>
      </c>
      <c r="F366" s="6" t="s">
        <v>1724</v>
      </c>
      <c r="G366" s="6" t="s">
        <v>1725</v>
      </c>
      <c r="H366" s="7" t="n">
        <v>5000</v>
      </c>
      <c r="I366" s="8" t="n">
        <v>10</v>
      </c>
      <c r="J366" s="9" t="n">
        <v>165.39</v>
      </c>
      <c r="K366" s="8" t="s">
        <v>35</v>
      </c>
      <c r="L366" s="10" t="s">
        <v>98</v>
      </c>
      <c r="M366" s="10" t="s">
        <v>409</v>
      </c>
      <c r="N366" s="10" t="s">
        <v>1726</v>
      </c>
      <c r="O366" s="8" t="str">
        <f aca="false">IF(M366="prescription","Yes","No")</f>
        <v>Yes</v>
      </c>
      <c r="P366" s="6"/>
      <c r="Q366" s="6" t="s">
        <v>1782</v>
      </c>
    </row>
    <row r="367" customFormat="false" ht="15" hidden="false" customHeight="false" outlineLevel="0" collapsed="false">
      <c r="A367" s="6" t="s">
        <v>1783</v>
      </c>
      <c r="B367" s="6" t="s">
        <v>1784</v>
      </c>
      <c r="C367" s="6" t="s">
        <v>922</v>
      </c>
      <c r="D367" s="6" t="s">
        <v>1785</v>
      </c>
      <c r="E367" s="6" t="s">
        <v>95</v>
      </c>
      <c r="F367" s="6" t="s">
        <v>1365</v>
      </c>
      <c r="G367" s="6" t="s">
        <v>1786</v>
      </c>
      <c r="H367" s="7" t="n">
        <v>1400</v>
      </c>
      <c r="I367" s="8" t="n">
        <v>10</v>
      </c>
      <c r="J367" s="9" t="n">
        <v>26.16</v>
      </c>
      <c r="K367" s="8" t="s">
        <v>35</v>
      </c>
      <c r="L367" s="10" t="s">
        <v>98</v>
      </c>
      <c r="M367" s="10" t="s">
        <v>409</v>
      </c>
      <c r="N367" s="10" t="s">
        <v>1787</v>
      </c>
      <c r="O367" s="8" t="str">
        <f aca="false">IF(M367="prescription","Yes","No")</f>
        <v>Yes</v>
      </c>
      <c r="P367" s="6"/>
      <c r="Q367" s="6" t="s">
        <v>1788</v>
      </c>
    </row>
    <row r="368" customFormat="false" ht="15" hidden="false" customHeight="false" outlineLevel="0" collapsed="false">
      <c r="A368" s="6" t="s">
        <v>1789</v>
      </c>
      <c r="B368" s="6" t="s">
        <v>1790</v>
      </c>
      <c r="C368" s="6" t="s">
        <v>1212</v>
      </c>
      <c r="D368" s="6" t="s">
        <v>1791</v>
      </c>
      <c r="E368" s="6" t="s">
        <v>95</v>
      </c>
      <c r="F368" s="6" t="s">
        <v>1724</v>
      </c>
      <c r="G368" s="6" t="s">
        <v>1792</v>
      </c>
      <c r="H368" s="7" t="n">
        <v>241</v>
      </c>
      <c r="I368" s="8" t="n">
        <v>1</v>
      </c>
      <c r="J368" s="9" t="n">
        <v>3080</v>
      </c>
      <c r="K368" s="8" t="s">
        <v>35</v>
      </c>
      <c r="L368" s="10" t="s">
        <v>98</v>
      </c>
      <c r="M368" s="10" t="s">
        <v>409</v>
      </c>
      <c r="N368" s="10" t="s">
        <v>1793</v>
      </c>
      <c r="O368" s="8" t="str">
        <f aca="false">IF(M368="prescription","Yes","No")</f>
        <v>Yes</v>
      </c>
      <c r="P368" s="6"/>
      <c r="Q368" s="6" t="s">
        <v>1794</v>
      </c>
    </row>
    <row r="369" customFormat="false" ht="15" hidden="false" customHeight="false" outlineLevel="0" collapsed="false">
      <c r="A369" s="6" t="s">
        <v>1795</v>
      </c>
      <c r="B369" s="6" t="s">
        <v>1796</v>
      </c>
      <c r="C369" s="6" t="s">
        <v>1797</v>
      </c>
      <c r="D369" s="6" t="s">
        <v>1798</v>
      </c>
      <c r="E369" s="6" t="s">
        <v>95</v>
      </c>
      <c r="F369" s="6" t="s">
        <v>1724</v>
      </c>
      <c r="G369" s="6" t="s">
        <v>1792</v>
      </c>
      <c r="H369" s="7" t="n">
        <v>230</v>
      </c>
      <c r="I369" s="8" t="n">
        <v>10</v>
      </c>
      <c r="J369" s="9" t="n">
        <v>105.64</v>
      </c>
      <c r="K369" s="8" t="s">
        <v>35</v>
      </c>
      <c r="L369" s="10" t="s">
        <v>98</v>
      </c>
      <c r="M369" s="10" t="s">
        <v>409</v>
      </c>
      <c r="N369" s="10" t="s">
        <v>1793</v>
      </c>
      <c r="O369" s="8" t="str">
        <f aca="false">IF(M369="prescription","Yes","No")</f>
        <v>Yes</v>
      </c>
      <c r="P369" s="6"/>
      <c r="Q369" s="6" t="s">
        <v>1799</v>
      </c>
    </row>
    <row r="370" customFormat="false" ht="15" hidden="false" customHeight="false" outlineLevel="0" collapsed="false">
      <c r="A370" s="6" t="s">
        <v>1800</v>
      </c>
      <c r="B370" s="6" t="s">
        <v>1801</v>
      </c>
      <c r="C370" s="6" t="s">
        <v>1212</v>
      </c>
      <c r="D370" s="6" t="s">
        <v>1798</v>
      </c>
      <c r="E370" s="6" t="s">
        <v>95</v>
      </c>
      <c r="F370" s="6" t="s">
        <v>1724</v>
      </c>
      <c r="G370" s="6" t="s">
        <v>1792</v>
      </c>
      <c r="H370" s="7" t="n">
        <v>70</v>
      </c>
      <c r="I370" s="8" t="n">
        <v>10</v>
      </c>
      <c r="J370" s="9" t="n">
        <v>105.64</v>
      </c>
      <c r="K370" s="8" t="s">
        <v>35</v>
      </c>
      <c r="L370" s="10" t="s">
        <v>98</v>
      </c>
      <c r="M370" s="10" t="s">
        <v>409</v>
      </c>
      <c r="N370" s="10" t="s">
        <v>1793</v>
      </c>
      <c r="O370" s="8" t="str">
        <f aca="false">IF(M370="prescription","Yes","No")</f>
        <v>Yes</v>
      </c>
      <c r="P370" s="6"/>
      <c r="Q370" s="6" t="s">
        <v>1802</v>
      </c>
    </row>
    <row r="371" customFormat="false" ht="15" hidden="false" customHeight="false" outlineLevel="0" collapsed="false">
      <c r="A371" s="6" t="s">
        <v>1803</v>
      </c>
      <c r="B371" s="6" t="s">
        <v>1804</v>
      </c>
      <c r="C371" s="6" t="s">
        <v>1212</v>
      </c>
      <c r="D371" s="6" t="s">
        <v>1805</v>
      </c>
      <c r="E371" s="6" t="s">
        <v>95</v>
      </c>
      <c r="F371" s="6" t="s">
        <v>1724</v>
      </c>
      <c r="G371" s="6" t="s">
        <v>1792</v>
      </c>
      <c r="H371" s="7" t="n">
        <v>25930</v>
      </c>
      <c r="I371" s="8" t="n">
        <v>10</v>
      </c>
      <c r="J371" s="9" t="n">
        <v>132.99</v>
      </c>
      <c r="K371" s="8" t="s">
        <v>35</v>
      </c>
      <c r="L371" s="10" t="s">
        <v>98</v>
      </c>
      <c r="M371" s="10" t="s">
        <v>409</v>
      </c>
      <c r="N371" s="10" t="s">
        <v>1793</v>
      </c>
      <c r="O371" s="8" t="str">
        <f aca="false">IF(M371="prescription","Yes","No")</f>
        <v>Yes</v>
      </c>
      <c r="P371" s="6"/>
      <c r="Q371" s="6" t="s">
        <v>1806</v>
      </c>
    </row>
    <row r="372" customFormat="false" ht="15" hidden="false" customHeight="false" outlineLevel="0" collapsed="false">
      <c r="A372" s="6" t="s">
        <v>1807</v>
      </c>
      <c r="B372" s="6" t="s">
        <v>1808</v>
      </c>
      <c r="C372" s="6" t="s">
        <v>1809</v>
      </c>
      <c r="D372" s="6" t="s">
        <v>1810</v>
      </c>
      <c r="E372" s="6" t="s">
        <v>407</v>
      </c>
      <c r="F372" s="6" t="s">
        <v>1811</v>
      </c>
      <c r="G372" s="6" t="s">
        <v>1812</v>
      </c>
      <c r="H372" s="7" t="n">
        <v>1</v>
      </c>
      <c r="I372" s="8" t="n">
        <v>1</v>
      </c>
      <c r="J372" s="9" t="n">
        <v>34.76</v>
      </c>
      <c r="K372" s="8" t="s">
        <v>35</v>
      </c>
      <c r="L372" s="10" t="s">
        <v>98</v>
      </c>
      <c r="M372" s="10" t="s">
        <v>409</v>
      </c>
      <c r="N372" s="10" t="s">
        <v>1793</v>
      </c>
      <c r="O372" s="8" t="str">
        <f aca="false">IF(M372="prescription","Yes","No")</f>
        <v>Yes</v>
      </c>
      <c r="P372" s="6"/>
      <c r="Q372" s="6" t="s">
        <v>1813</v>
      </c>
    </row>
    <row r="373" customFormat="false" ht="15" hidden="false" customHeight="false" outlineLevel="0" collapsed="false">
      <c r="A373" s="6" t="s">
        <v>1814</v>
      </c>
      <c r="B373" s="6" t="s">
        <v>1815</v>
      </c>
      <c r="C373" s="6" t="s">
        <v>554</v>
      </c>
      <c r="D373" s="6" t="s">
        <v>1816</v>
      </c>
      <c r="E373" s="6" t="s">
        <v>407</v>
      </c>
      <c r="F373" s="6" t="s">
        <v>1811</v>
      </c>
      <c r="G373" s="6" t="s">
        <v>1817</v>
      </c>
      <c r="H373" s="7" t="n">
        <v>68</v>
      </c>
      <c r="I373" s="8" t="n">
        <v>1</v>
      </c>
      <c r="J373" s="9" t="n">
        <v>347.51</v>
      </c>
      <c r="K373" s="8" t="s">
        <v>35</v>
      </c>
      <c r="L373" s="10" t="s">
        <v>98</v>
      </c>
      <c r="M373" s="10" t="s">
        <v>409</v>
      </c>
      <c r="N373" s="10" t="s">
        <v>1793</v>
      </c>
      <c r="O373" s="8" t="str">
        <f aca="false">IF(M373="prescription","Yes","No")</f>
        <v>Yes</v>
      </c>
      <c r="P373" s="6"/>
      <c r="Q373" s="6" t="s">
        <v>1818</v>
      </c>
    </row>
    <row r="374" customFormat="false" ht="15" hidden="false" customHeight="false" outlineLevel="0" collapsed="false">
      <c r="A374" s="6" t="s">
        <v>1819</v>
      </c>
      <c r="B374" s="6" t="s">
        <v>1820</v>
      </c>
      <c r="C374" s="6" t="s">
        <v>1809</v>
      </c>
      <c r="D374" s="6" t="s">
        <v>1816</v>
      </c>
      <c r="E374" s="6" t="s">
        <v>407</v>
      </c>
      <c r="F374" s="6" t="s">
        <v>1811</v>
      </c>
      <c r="G374" s="6" t="s">
        <v>1817</v>
      </c>
      <c r="H374" s="7" t="n">
        <v>0</v>
      </c>
      <c r="I374" s="8" t="n">
        <v>1</v>
      </c>
      <c r="J374" s="9" t="n">
        <v>347.51</v>
      </c>
      <c r="K374" s="8" t="s">
        <v>87</v>
      </c>
      <c r="L374" s="10" t="s">
        <v>98</v>
      </c>
      <c r="M374" s="10" t="s">
        <v>409</v>
      </c>
      <c r="N374" s="10" t="s">
        <v>1793</v>
      </c>
      <c r="O374" s="8" t="str">
        <f aca="false">IF(M374="prescription","Yes","No")</f>
        <v>Yes</v>
      </c>
      <c r="P374" s="6" t="s">
        <v>89</v>
      </c>
      <c r="Q374" s="6" t="s">
        <v>1821</v>
      </c>
    </row>
    <row r="375" customFormat="false" ht="15" hidden="false" customHeight="false" outlineLevel="0" collapsed="false">
      <c r="A375" s="6" t="s">
        <v>1822</v>
      </c>
      <c r="B375" s="6" t="s">
        <v>1823</v>
      </c>
      <c r="C375" s="6" t="s">
        <v>1809</v>
      </c>
      <c r="D375" s="6" t="s">
        <v>1824</v>
      </c>
      <c r="E375" s="6" t="s">
        <v>95</v>
      </c>
      <c r="F375" s="6" t="s">
        <v>1724</v>
      </c>
      <c r="G375" s="6" t="s">
        <v>1825</v>
      </c>
      <c r="H375" s="7" t="n">
        <v>388</v>
      </c>
      <c r="I375" s="8" t="n">
        <v>10</v>
      </c>
      <c r="J375" s="9" t="n">
        <v>207.87</v>
      </c>
      <c r="K375" s="8" t="s">
        <v>35</v>
      </c>
      <c r="L375" s="10" t="s">
        <v>98</v>
      </c>
      <c r="M375" s="10" t="s">
        <v>409</v>
      </c>
      <c r="N375" s="10" t="s">
        <v>1793</v>
      </c>
      <c r="O375" s="8" t="str">
        <f aca="false">IF(M375="prescription","Yes","No")</f>
        <v>Yes</v>
      </c>
      <c r="P375" s="6"/>
      <c r="Q375" s="6" t="s">
        <v>1826</v>
      </c>
    </row>
    <row r="376" customFormat="false" ht="15" hidden="false" customHeight="false" outlineLevel="0" collapsed="false">
      <c r="A376" s="6" t="s">
        <v>1827</v>
      </c>
      <c r="B376" s="6" t="s">
        <v>1828</v>
      </c>
      <c r="C376" s="6" t="s">
        <v>1829</v>
      </c>
      <c r="D376" s="6" t="s">
        <v>1830</v>
      </c>
      <c r="E376" s="6" t="s">
        <v>407</v>
      </c>
      <c r="F376" s="6" t="s">
        <v>1811</v>
      </c>
      <c r="G376" s="6" t="s">
        <v>1831</v>
      </c>
      <c r="H376" s="7" t="n">
        <v>91</v>
      </c>
      <c r="I376" s="8" t="n">
        <v>1</v>
      </c>
      <c r="J376" s="9" t="n">
        <v>542.43</v>
      </c>
      <c r="K376" s="8" t="s">
        <v>35</v>
      </c>
      <c r="L376" s="10" t="s">
        <v>98</v>
      </c>
      <c r="M376" s="10" t="s">
        <v>409</v>
      </c>
      <c r="N376" s="10" t="s">
        <v>1793</v>
      </c>
      <c r="O376" s="8" t="str">
        <f aca="false">IF(M376="prescription","Yes","No")</f>
        <v>Yes</v>
      </c>
      <c r="P376" s="6"/>
      <c r="Q376" s="6" t="s">
        <v>1832</v>
      </c>
    </row>
    <row r="377" customFormat="false" ht="15" hidden="false" customHeight="false" outlineLevel="0" collapsed="false">
      <c r="A377" s="6" t="s">
        <v>1833</v>
      </c>
      <c r="B377" s="6" t="s">
        <v>1834</v>
      </c>
      <c r="C377" s="6" t="s">
        <v>1829</v>
      </c>
      <c r="D377" s="6" t="s">
        <v>1835</v>
      </c>
      <c r="E377" s="6" t="s">
        <v>407</v>
      </c>
      <c r="F377" s="6" t="s">
        <v>1811</v>
      </c>
      <c r="G377" s="6" t="s">
        <v>1831</v>
      </c>
      <c r="H377" s="7" t="n">
        <v>120</v>
      </c>
      <c r="I377" s="8" t="n">
        <v>1</v>
      </c>
      <c r="J377" s="9" t="n">
        <v>1190</v>
      </c>
      <c r="K377" s="8" t="s">
        <v>35</v>
      </c>
      <c r="L377" s="10" t="s">
        <v>98</v>
      </c>
      <c r="M377" s="10" t="s">
        <v>409</v>
      </c>
      <c r="N377" s="10" t="s">
        <v>1793</v>
      </c>
      <c r="O377" s="8" t="str">
        <f aca="false">IF(M377="prescription","Yes","No")</f>
        <v>Yes</v>
      </c>
      <c r="P377" s="6"/>
      <c r="Q377" s="6" t="s">
        <v>1836</v>
      </c>
    </row>
    <row r="378" customFormat="false" ht="15" hidden="false" customHeight="false" outlineLevel="0" collapsed="false">
      <c r="A378" s="6" t="s">
        <v>1837</v>
      </c>
      <c r="B378" s="6" t="s">
        <v>1838</v>
      </c>
      <c r="C378" s="6" t="s">
        <v>1839</v>
      </c>
      <c r="D378" s="6" t="s">
        <v>1840</v>
      </c>
      <c r="E378" s="6" t="s">
        <v>407</v>
      </c>
      <c r="F378" s="6" t="s">
        <v>1811</v>
      </c>
      <c r="G378" s="6" t="s">
        <v>1841</v>
      </c>
      <c r="H378" s="7" t="n">
        <v>26</v>
      </c>
      <c r="I378" s="8" t="n">
        <v>1</v>
      </c>
      <c r="J378" s="9" t="n">
        <v>150.89</v>
      </c>
      <c r="K378" s="8" t="s">
        <v>35</v>
      </c>
      <c r="L378" s="10" t="s">
        <v>98</v>
      </c>
      <c r="M378" s="10" t="s">
        <v>409</v>
      </c>
      <c r="N378" s="10" t="s">
        <v>1793</v>
      </c>
      <c r="O378" s="8" t="str">
        <f aca="false">IF(M378="prescription","Yes","No")</f>
        <v>Yes</v>
      </c>
      <c r="P378" s="6"/>
      <c r="Q378" s="6" t="s">
        <v>1842</v>
      </c>
    </row>
    <row r="379" customFormat="false" ht="15" hidden="false" customHeight="false" outlineLevel="0" collapsed="false">
      <c r="A379" s="6" t="s">
        <v>1843</v>
      </c>
      <c r="B379" s="6" t="s">
        <v>1844</v>
      </c>
      <c r="C379" s="6" t="s">
        <v>1839</v>
      </c>
      <c r="D379" s="6" t="s">
        <v>1845</v>
      </c>
      <c r="E379" s="6" t="s">
        <v>407</v>
      </c>
      <c r="F379" s="6" t="s">
        <v>1811</v>
      </c>
      <c r="G379" s="6" t="s">
        <v>1841</v>
      </c>
      <c r="H379" s="7" t="n">
        <v>27</v>
      </c>
      <c r="I379" s="8" t="n">
        <v>1</v>
      </c>
      <c r="J379" s="9" t="n">
        <v>96.39</v>
      </c>
      <c r="K379" s="8" t="s">
        <v>35</v>
      </c>
      <c r="L379" s="10" t="s">
        <v>98</v>
      </c>
      <c r="M379" s="10" t="s">
        <v>409</v>
      </c>
      <c r="N379" s="10" t="s">
        <v>1793</v>
      </c>
      <c r="O379" s="8" t="str">
        <f aca="false">IF(M379="prescription","Yes","No")</f>
        <v>Yes</v>
      </c>
      <c r="P379" s="6"/>
      <c r="Q379" s="6" t="s">
        <v>1846</v>
      </c>
    </row>
    <row r="380" customFormat="false" ht="15" hidden="false" customHeight="false" outlineLevel="0" collapsed="false">
      <c r="A380" s="6" t="s">
        <v>1847</v>
      </c>
      <c r="B380" s="6" t="s">
        <v>1848</v>
      </c>
      <c r="C380" s="6" t="s">
        <v>1849</v>
      </c>
      <c r="D380" s="6" t="s">
        <v>1850</v>
      </c>
      <c r="E380" s="6" t="s">
        <v>407</v>
      </c>
      <c r="F380" s="6" t="s">
        <v>1811</v>
      </c>
      <c r="G380" s="6" t="s">
        <v>1812</v>
      </c>
      <c r="H380" s="7" t="n">
        <v>35</v>
      </c>
      <c r="I380" s="8" t="n">
        <v>1</v>
      </c>
      <c r="J380" s="9" t="n">
        <v>199.69</v>
      </c>
      <c r="K380" s="8" t="s">
        <v>35</v>
      </c>
      <c r="L380" s="10" t="s">
        <v>98</v>
      </c>
      <c r="M380" s="10" t="s">
        <v>409</v>
      </c>
      <c r="N380" s="10" t="s">
        <v>1793</v>
      </c>
      <c r="O380" s="8" t="str">
        <f aca="false">IF(M380="prescription","Yes","No")</f>
        <v>Yes</v>
      </c>
      <c r="P380" s="6"/>
      <c r="Q380" s="6" t="s">
        <v>1851</v>
      </c>
    </row>
    <row r="381" customFormat="false" ht="15" hidden="false" customHeight="false" outlineLevel="0" collapsed="false">
      <c r="A381" s="6" t="s">
        <v>1852</v>
      </c>
      <c r="B381" s="6" t="s">
        <v>1853</v>
      </c>
      <c r="C381" s="6" t="s">
        <v>1809</v>
      </c>
      <c r="D381" s="6" t="s">
        <v>1854</v>
      </c>
      <c r="E381" s="6" t="s">
        <v>407</v>
      </c>
      <c r="F381" s="6" t="s">
        <v>1724</v>
      </c>
      <c r="G381" s="6" t="s">
        <v>1825</v>
      </c>
      <c r="H381" s="7" t="n">
        <v>96</v>
      </c>
      <c r="I381" s="8" t="n">
        <v>1</v>
      </c>
      <c r="J381" s="9" t="n">
        <v>617.26</v>
      </c>
      <c r="K381" s="8" t="s">
        <v>35</v>
      </c>
      <c r="L381" s="10" t="s">
        <v>98</v>
      </c>
      <c r="M381" s="10" t="s">
        <v>409</v>
      </c>
      <c r="N381" s="10" t="s">
        <v>1793</v>
      </c>
      <c r="O381" s="8" t="str">
        <f aca="false">IF(M381="prescription","Yes","No")</f>
        <v>Yes</v>
      </c>
      <c r="P381" s="6"/>
      <c r="Q381" s="6" t="s">
        <v>1855</v>
      </c>
    </row>
    <row r="382" customFormat="false" ht="15" hidden="false" customHeight="false" outlineLevel="0" collapsed="false">
      <c r="A382" s="6" t="s">
        <v>1856</v>
      </c>
      <c r="B382" s="6" t="s">
        <v>1857</v>
      </c>
      <c r="C382" s="6" t="s">
        <v>1212</v>
      </c>
      <c r="D382" s="6" t="s">
        <v>1858</v>
      </c>
      <c r="E382" s="6" t="s">
        <v>407</v>
      </c>
      <c r="F382" s="6" t="s">
        <v>1811</v>
      </c>
      <c r="G382" s="6" t="s">
        <v>1859</v>
      </c>
      <c r="H382" s="7" t="n">
        <v>73</v>
      </c>
      <c r="I382" s="8" t="n">
        <v>1</v>
      </c>
      <c r="J382" s="9" t="n">
        <v>353.54</v>
      </c>
      <c r="K382" s="8" t="s">
        <v>35</v>
      </c>
      <c r="L382" s="10" t="s">
        <v>98</v>
      </c>
      <c r="M382" s="10" t="s">
        <v>409</v>
      </c>
      <c r="N382" s="10" t="s">
        <v>1793</v>
      </c>
      <c r="O382" s="8" t="str">
        <f aca="false">IF(M382="prescription","Yes","No")</f>
        <v>Yes</v>
      </c>
      <c r="P382" s="6"/>
      <c r="Q382" s="6" t="s">
        <v>1860</v>
      </c>
    </row>
    <row r="383" customFormat="false" ht="15" hidden="false" customHeight="false" outlineLevel="0" collapsed="false">
      <c r="A383" s="6" t="s">
        <v>1861</v>
      </c>
      <c r="B383" s="6" t="s">
        <v>1862</v>
      </c>
      <c r="C383" s="6" t="s">
        <v>1212</v>
      </c>
      <c r="D383" s="6" t="s">
        <v>1863</v>
      </c>
      <c r="E383" s="6" t="s">
        <v>407</v>
      </c>
      <c r="F383" s="6" t="s">
        <v>1811</v>
      </c>
      <c r="G383" s="6" t="s">
        <v>1859</v>
      </c>
      <c r="H383" s="7" t="n">
        <v>93</v>
      </c>
      <c r="I383" s="8" t="n">
        <v>1</v>
      </c>
      <c r="J383" s="9" t="n">
        <v>132.99</v>
      </c>
      <c r="K383" s="8" t="s">
        <v>35</v>
      </c>
      <c r="L383" s="10" t="s">
        <v>98</v>
      </c>
      <c r="M383" s="10" t="s">
        <v>409</v>
      </c>
      <c r="N383" s="10" t="s">
        <v>1793</v>
      </c>
      <c r="O383" s="8" t="str">
        <f aca="false">IF(M383="prescription","Yes","No")</f>
        <v>Yes</v>
      </c>
      <c r="P383" s="6"/>
      <c r="Q383" s="6" t="s">
        <v>1864</v>
      </c>
    </row>
    <row r="384" customFormat="false" ht="15" hidden="false" customHeight="false" outlineLevel="0" collapsed="false">
      <c r="A384" s="6" t="s">
        <v>1865</v>
      </c>
      <c r="B384" s="6" t="s">
        <v>1866</v>
      </c>
      <c r="C384" s="6" t="s">
        <v>1212</v>
      </c>
      <c r="D384" s="6" t="s">
        <v>1854</v>
      </c>
      <c r="E384" s="6" t="s">
        <v>407</v>
      </c>
      <c r="F384" s="6" t="s">
        <v>1811</v>
      </c>
      <c r="G384" s="6" t="s">
        <v>1859</v>
      </c>
      <c r="H384" s="7" t="n">
        <v>10</v>
      </c>
      <c r="I384" s="8" t="n">
        <v>1</v>
      </c>
      <c r="J384" s="9" t="n">
        <v>253.18</v>
      </c>
      <c r="K384" s="8" t="s">
        <v>35</v>
      </c>
      <c r="L384" s="10" t="s">
        <v>98</v>
      </c>
      <c r="M384" s="10" t="s">
        <v>409</v>
      </c>
      <c r="N384" s="10" t="s">
        <v>1793</v>
      </c>
      <c r="O384" s="8" t="str">
        <f aca="false">IF(M384="prescription","Yes","No")</f>
        <v>Yes</v>
      </c>
      <c r="P384" s="6"/>
      <c r="Q384" s="6" t="s">
        <v>1867</v>
      </c>
    </row>
    <row r="385" customFormat="false" ht="15" hidden="false" customHeight="false" outlineLevel="0" collapsed="false">
      <c r="A385" s="6" t="s">
        <v>1868</v>
      </c>
      <c r="B385" s="6" t="s">
        <v>1869</v>
      </c>
      <c r="C385" s="6" t="s">
        <v>1870</v>
      </c>
      <c r="D385" s="6" t="s">
        <v>1798</v>
      </c>
      <c r="E385" s="6" t="s">
        <v>95</v>
      </c>
      <c r="F385" s="6" t="s">
        <v>1724</v>
      </c>
      <c r="G385" s="6" t="s">
        <v>1792</v>
      </c>
      <c r="H385" s="7" t="n">
        <v>4790</v>
      </c>
      <c r="I385" s="8" t="n">
        <v>10</v>
      </c>
      <c r="J385" s="9" t="n">
        <v>105.64</v>
      </c>
      <c r="K385" s="8" t="s">
        <v>35</v>
      </c>
      <c r="L385" s="10" t="s">
        <v>98</v>
      </c>
      <c r="M385" s="10" t="s">
        <v>409</v>
      </c>
      <c r="N385" s="10" t="s">
        <v>1793</v>
      </c>
      <c r="O385" s="8" t="str">
        <f aca="false">IF(M385="prescription","Yes","No")</f>
        <v>Yes</v>
      </c>
      <c r="P385" s="6"/>
      <c r="Q385" s="6" t="s">
        <v>1871</v>
      </c>
    </row>
    <row r="386" customFormat="false" ht="15" hidden="false" customHeight="false" outlineLevel="0" collapsed="false">
      <c r="A386" s="6" t="s">
        <v>1872</v>
      </c>
      <c r="B386" s="6" t="s">
        <v>1873</v>
      </c>
      <c r="C386" s="6" t="s">
        <v>1809</v>
      </c>
      <c r="D386" s="6" t="s">
        <v>1874</v>
      </c>
      <c r="E386" s="6" t="s">
        <v>407</v>
      </c>
      <c r="F386" s="6" t="s">
        <v>1811</v>
      </c>
      <c r="G386" s="6" t="s">
        <v>1875</v>
      </c>
      <c r="H386" s="7" t="n">
        <v>0</v>
      </c>
      <c r="I386" s="8" t="n">
        <v>1</v>
      </c>
      <c r="J386" s="9"/>
      <c r="K386" s="8" t="s">
        <v>87</v>
      </c>
      <c r="L386" s="10" t="s">
        <v>98</v>
      </c>
      <c r="M386" s="10" t="s">
        <v>409</v>
      </c>
      <c r="N386" s="10" t="s">
        <v>1793</v>
      </c>
      <c r="O386" s="8" t="str">
        <f aca="false">IF(M386="prescription","Yes","No")</f>
        <v>Yes</v>
      </c>
      <c r="P386" s="6" t="s">
        <v>1876</v>
      </c>
      <c r="Q386" s="6" t="s">
        <v>1877</v>
      </c>
    </row>
    <row r="387" customFormat="false" ht="15" hidden="false" customHeight="false" outlineLevel="0" collapsed="false">
      <c r="A387" s="6" t="s">
        <v>1878</v>
      </c>
      <c r="B387" s="6" t="s">
        <v>1879</v>
      </c>
      <c r="C387" s="6" t="s">
        <v>1809</v>
      </c>
      <c r="D387" s="6" t="s">
        <v>1874</v>
      </c>
      <c r="E387" s="6" t="s">
        <v>407</v>
      </c>
      <c r="F387" s="6" t="s">
        <v>1811</v>
      </c>
      <c r="G387" s="6" t="s">
        <v>1875</v>
      </c>
      <c r="H387" s="7" t="n">
        <v>3</v>
      </c>
      <c r="I387" s="8" t="n">
        <v>1</v>
      </c>
      <c r="J387" s="9" t="n">
        <v>68.23</v>
      </c>
      <c r="K387" s="8" t="s">
        <v>35</v>
      </c>
      <c r="L387" s="10" t="s">
        <v>98</v>
      </c>
      <c r="M387" s="10" t="s">
        <v>409</v>
      </c>
      <c r="N387" s="10" t="s">
        <v>1793</v>
      </c>
      <c r="O387" s="8" t="str">
        <f aca="false">IF(M387="prescription","Yes","No")</f>
        <v>Yes</v>
      </c>
      <c r="P387" s="6"/>
      <c r="Q387" s="6" t="s">
        <v>1880</v>
      </c>
    </row>
    <row r="388" customFormat="false" ht="15" hidden="false" customHeight="false" outlineLevel="0" collapsed="false">
      <c r="A388" s="6" t="s">
        <v>1881</v>
      </c>
      <c r="B388" s="6" t="s">
        <v>1882</v>
      </c>
      <c r="C388" s="6" t="s">
        <v>1809</v>
      </c>
      <c r="D388" s="6" t="s">
        <v>1883</v>
      </c>
      <c r="E388" s="6" t="s">
        <v>407</v>
      </c>
      <c r="F388" s="6" t="s">
        <v>1811</v>
      </c>
      <c r="G388" s="6" t="s">
        <v>1875</v>
      </c>
      <c r="H388" s="7" t="n">
        <v>17</v>
      </c>
      <c r="I388" s="8" t="n">
        <v>1</v>
      </c>
      <c r="J388" s="9" t="n">
        <v>980</v>
      </c>
      <c r="K388" s="8" t="s">
        <v>35</v>
      </c>
      <c r="L388" s="10" t="s">
        <v>98</v>
      </c>
      <c r="M388" s="10" t="s">
        <v>409</v>
      </c>
      <c r="N388" s="10" t="s">
        <v>1793</v>
      </c>
      <c r="O388" s="8" t="str">
        <f aca="false">IF(M388="prescription","Yes","No")</f>
        <v>Yes</v>
      </c>
      <c r="P388" s="6"/>
      <c r="Q388" s="6" t="s">
        <v>1884</v>
      </c>
    </row>
    <row r="389" customFormat="false" ht="15" hidden="false" customHeight="false" outlineLevel="0" collapsed="false">
      <c r="A389" s="6" t="s">
        <v>1885</v>
      </c>
      <c r="B389" s="6" t="s">
        <v>1886</v>
      </c>
      <c r="C389" s="6" t="s">
        <v>569</v>
      </c>
      <c r="D389" s="6" t="s">
        <v>1887</v>
      </c>
      <c r="E389" s="6" t="s">
        <v>95</v>
      </c>
      <c r="F389" s="6" t="s">
        <v>1724</v>
      </c>
      <c r="G389" s="6" t="s">
        <v>1825</v>
      </c>
      <c r="H389" s="7" t="n">
        <v>40</v>
      </c>
      <c r="I389" s="8" t="n">
        <v>10</v>
      </c>
      <c r="J389" s="9" t="n">
        <v>1894.2</v>
      </c>
      <c r="K389" s="8" t="s">
        <v>35</v>
      </c>
      <c r="L389" s="10" t="s">
        <v>98</v>
      </c>
      <c r="M389" s="10" t="s">
        <v>409</v>
      </c>
      <c r="N389" s="10" t="s">
        <v>1793</v>
      </c>
      <c r="O389" s="8" t="str">
        <f aca="false">IF(M389="prescription","Yes","No")</f>
        <v>Yes</v>
      </c>
      <c r="P389" s="6"/>
      <c r="Q389" s="6" t="s">
        <v>1888</v>
      </c>
    </row>
    <row r="390" customFormat="false" ht="15" hidden="false" customHeight="false" outlineLevel="0" collapsed="false">
      <c r="A390" s="6" t="s">
        <v>1889</v>
      </c>
      <c r="B390" s="6" t="s">
        <v>1890</v>
      </c>
      <c r="C390" s="6" t="s">
        <v>1891</v>
      </c>
      <c r="D390" s="6" t="s">
        <v>1892</v>
      </c>
      <c r="E390" s="6" t="s">
        <v>407</v>
      </c>
      <c r="F390" s="6" t="s">
        <v>1811</v>
      </c>
      <c r="G390" s="6" t="s">
        <v>1792</v>
      </c>
      <c r="H390" s="7" t="n">
        <v>160</v>
      </c>
      <c r="I390" s="8" t="n">
        <v>1</v>
      </c>
      <c r="J390" s="9" t="n">
        <v>3780</v>
      </c>
      <c r="K390" s="8" t="s">
        <v>35</v>
      </c>
      <c r="L390" s="10" t="s">
        <v>98</v>
      </c>
      <c r="M390" s="10" t="s">
        <v>409</v>
      </c>
      <c r="N390" s="10" t="s">
        <v>1793</v>
      </c>
      <c r="O390" s="8" t="str">
        <f aca="false">IF(M390="prescription","Yes","No")</f>
        <v>Yes</v>
      </c>
      <c r="P390" s="6"/>
      <c r="Q390" s="6" t="s">
        <v>1893</v>
      </c>
    </row>
    <row r="391" customFormat="false" ht="15" hidden="false" customHeight="false" outlineLevel="0" collapsed="false">
      <c r="A391" s="6" t="s">
        <v>1894</v>
      </c>
      <c r="B391" s="6" t="s">
        <v>1895</v>
      </c>
      <c r="C391" s="6" t="s">
        <v>1829</v>
      </c>
      <c r="D391" s="6" t="s">
        <v>1896</v>
      </c>
      <c r="E391" s="6" t="s">
        <v>106</v>
      </c>
      <c r="F391" s="6" t="s">
        <v>1724</v>
      </c>
      <c r="G391" s="6" t="s">
        <v>1825</v>
      </c>
      <c r="H391" s="7" t="n">
        <v>8243</v>
      </c>
      <c r="I391" s="8" t="n">
        <v>10</v>
      </c>
      <c r="J391" s="9" t="n">
        <v>47.17</v>
      </c>
      <c r="K391" s="8" t="s">
        <v>35</v>
      </c>
      <c r="L391" s="10" t="s">
        <v>98</v>
      </c>
      <c r="M391" s="10" t="s">
        <v>409</v>
      </c>
      <c r="N391" s="10" t="s">
        <v>1793</v>
      </c>
      <c r="O391" s="8" t="str">
        <f aca="false">IF(M391="prescription","Yes","No")</f>
        <v>Yes</v>
      </c>
      <c r="P391" s="6"/>
      <c r="Q391" s="6" t="s">
        <v>1897</v>
      </c>
    </row>
    <row r="392" customFormat="false" ht="15" hidden="false" customHeight="false" outlineLevel="0" collapsed="false">
      <c r="A392" s="6" t="s">
        <v>1898</v>
      </c>
      <c r="B392" s="6" t="s">
        <v>1899</v>
      </c>
      <c r="C392" s="6" t="s">
        <v>424</v>
      </c>
      <c r="D392" s="6" t="s">
        <v>1900</v>
      </c>
      <c r="E392" s="6" t="s">
        <v>95</v>
      </c>
      <c r="F392" s="6" t="s">
        <v>1724</v>
      </c>
      <c r="G392" s="6" t="s">
        <v>1792</v>
      </c>
      <c r="H392" s="7" t="n">
        <v>2220</v>
      </c>
      <c r="I392" s="8" t="n">
        <v>30</v>
      </c>
      <c r="J392" s="9" t="n">
        <v>389.55</v>
      </c>
      <c r="K392" s="8" t="s">
        <v>35</v>
      </c>
      <c r="L392" s="10" t="s">
        <v>98</v>
      </c>
      <c r="M392" s="10" t="s">
        <v>409</v>
      </c>
      <c r="N392" s="10" t="s">
        <v>1793</v>
      </c>
      <c r="O392" s="8" t="str">
        <f aca="false">IF(M392="prescription","Yes","No")</f>
        <v>Yes</v>
      </c>
      <c r="P392" s="6"/>
      <c r="Q392" s="6" t="s">
        <v>1901</v>
      </c>
    </row>
    <row r="393" customFormat="false" ht="15" hidden="false" customHeight="false" outlineLevel="0" collapsed="false">
      <c r="A393" s="6" t="s">
        <v>1902</v>
      </c>
      <c r="B393" s="6" t="s">
        <v>1903</v>
      </c>
      <c r="C393" s="6" t="s">
        <v>830</v>
      </c>
      <c r="D393" s="6" t="s">
        <v>1904</v>
      </c>
      <c r="E393" s="6" t="s">
        <v>407</v>
      </c>
      <c r="F393" s="6" t="s">
        <v>1811</v>
      </c>
      <c r="G393" s="6" t="s">
        <v>1905</v>
      </c>
      <c r="H393" s="7" t="n">
        <v>51</v>
      </c>
      <c r="I393" s="8" t="n">
        <v>1</v>
      </c>
      <c r="J393" s="9" t="n">
        <v>185.95</v>
      </c>
      <c r="K393" s="8" t="s">
        <v>35</v>
      </c>
      <c r="L393" s="10" t="s">
        <v>98</v>
      </c>
      <c r="M393" s="10" t="s">
        <v>409</v>
      </c>
      <c r="N393" s="10" t="s">
        <v>1793</v>
      </c>
      <c r="O393" s="8" t="str">
        <f aca="false">IF(M393="prescription","Yes","No")</f>
        <v>Yes</v>
      </c>
      <c r="P393" s="6"/>
      <c r="Q393" s="6" t="s">
        <v>1906</v>
      </c>
    </row>
    <row r="394" customFormat="false" ht="15" hidden="false" customHeight="false" outlineLevel="0" collapsed="false">
      <c r="A394" s="6" t="s">
        <v>1907</v>
      </c>
      <c r="B394" s="6" t="s">
        <v>1908</v>
      </c>
      <c r="C394" s="6" t="s">
        <v>1706</v>
      </c>
      <c r="D394" s="6" t="s">
        <v>1909</v>
      </c>
      <c r="E394" s="6" t="s">
        <v>407</v>
      </c>
      <c r="F394" s="6" t="s">
        <v>1811</v>
      </c>
      <c r="G394" s="6" t="s">
        <v>1792</v>
      </c>
      <c r="H394" s="7" t="n">
        <v>10</v>
      </c>
      <c r="I394" s="8" t="n">
        <v>1</v>
      </c>
      <c r="J394" s="9" t="n">
        <v>1590.23</v>
      </c>
      <c r="K394" s="8" t="s">
        <v>35</v>
      </c>
      <c r="L394" s="10" t="s">
        <v>98</v>
      </c>
      <c r="M394" s="10" t="s">
        <v>409</v>
      </c>
      <c r="N394" s="10" t="s">
        <v>1793</v>
      </c>
      <c r="O394" s="8" t="str">
        <f aca="false">IF(M394="prescription","Yes","No")</f>
        <v>Yes</v>
      </c>
      <c r="P394" s="6"/>
      <c r="Q394" s="6" t="s">
        <v>1910</v>
      </c>
    </row>
    <row r="395" customFormat="false" ht="15" hidden="false" customHeight="false" outlineLevel="0" collapsed="false">
      <c r="A395" s="6" t="s">
        <v>1911</v>
      </c>
      <c r="B395" s="6" t="s">
        <v>1912</v>
      </c>
      <c r="C395" s="6" t="s">
        <v>125</v>
      </c>
      <c r="D395" s="6" t="s">
        <v>1913</v>
      </c>
      <c r="E395" s="6" t="s">
        <v>407</v>
      </c>
      <c r="F395" s="6" t="s">
        <v>1811</v>
      </c>
      <c r="G395" s="6" t="s">
        <v>1792</v>
      </c>
      <c r="H395" s="7" t="n">
        <v>17</v>
      </c>
      <c r="I395" s="8" t="n">
        <v>1</v>
      </c>
      <c r="J395" s="9" t="n">
        <v>4792.9</v>
      </c>
      <c r="K395" s="8" t="s">
        <v>35</v>
      </c>
      <c r="L395" s="10" t="s">
        <v>98</v>
      </c>
      <c r="M395" s="10" t="s">
        <v>409</v>
      </c>
      <c r="N395" s="10" t="s">
        <v>1793</v>
      </c>
      <c r="O395" s="8" t="str">
        <f aca="false">IF(M395="prescription","Yes","No")</f>
        <v>Yes</v>
      </c>
      <c r="P395" s="6"/>
      <c r="Q395" s="6" t="s">
        <v>1914</v>
      </c>
    </row>
    <row r="396" customFormat="false" ht="15" hidden="false" customHeight="false" outlineLevel="0" collapsed="false">
      <c r="A396" s="6" t="s">
        <v>1915</v>
      </c>
      <c r="B396" s="6" t="s">
        <v>1916</v>
      </c>
      <c r="C396" s="6" t="s">
        <v>1809</v>
      </c>
      <c r="D396" s="6" t="s">
        <v>1904</v>
      </c>
      <c r="E396" s="6" t="s">
        <v>407</v>
      </c>
      <c r="F396" s="6" t="s">
        <v>1724</v>
      </c>
      <c r="G396" s="6" t="s">
        <v>1825</v>
      </c>
      <c r="H396" s="7" t="n">
        <v>168</v>
      </c>
      <c r="I396" s="8" t="n">
        <v>1</v>
      </c>
      <c r="J396" s="9" t="n">
        <v>185.95</v>
      </c>
      <c r="K396" s="8" t="s">
        <v>35</v>
      </c>
      <c r="L396" s="10" t="s">
        <v>98</v>
      </c>
      <c r="M396" s="10" t="s">
        <v>409</v>
      </c>
      <c r="N396" s="10" t="s">
        <v>1793</v>
      </c>
      <c r="O396" s="8" t="str">
        <f aca="false">IF(M396="prescription","Yes","No")</f>
        <v>Yes</v>
      </c>
      <c r="P396" s="6"/>
      <c r="Q396" s="6" t="s">
        <v>1917</v>
      </c>
    </row>
    <row r="397" customFormat="false" ht="15" hidden="false" customHeight="false" outlineLevel="0" collapsed="false">
      <c r="A397" s="6" t="s">
        <v>1918</v>
      </c>
      <c r="B397" s="6" t="s">
        <v>1919</v>
      </c>
      <c r="C397" s="6" t="s">
        <v>1920</v>
      </c>
      <c r="D397" s="6" t="s">
        <v>1921</v>
      </c>
      <c r="E397" s="6" t="s">
        <v>407</v>
      </c>
      <c r="F397" s="6" t="s">
        <v>1811</v>
      </c>
      <c r="G397" s="6" t="s">
        <v>1905</v>
      </c>
      <c r="H397" s="7" t="n">
        <v>40</v>
      </c>
      <c r="I397" s="8" t="n">
        <v>1</v>
      </c>
      <c r="J397" s="9" t="n">
        <v>245.47</v>
      </c>
      <c r="K397" s="8" t="s">
        <v>35</v>
      </c>
      <c r="L397" s="10" t="s">
        <v>98</v>
      </c>
      <c r="M397" s="10" t="s">
        <v>409</v>
      </c>
      <c r="N397" s="10" t="s">
        <v>1793</v>
      </c>
      <c r="O397" s="8" t="str">
        <f aca="false">IF(M397="prescription","Yes","No")</f>
        <v>Yes</v>
      </c>
      <c r="P397" s="6"/>
      <c r="Q397" s="6" t="s">
        <v>1922</v>
      </c>
    </row>
    <row r="398" customFormat="false" ht="15" hidden="false" customHeight="false" outlineLevel="0" collapsed="false">
      <c r="A398" s="6" t="s">
        <v>1923</v>
      </c>
      <c r="B398" s="6" t="s">
        <v>1924</v>
      </c>
      <c r="C398" s="6" t="s">
        <v>1132</v>
      </c>
      <c r="D398" s="6" t="s">
        <v>1925</v>
      </c>
      <c r="E398" s="6" t="s">
        <v>407</v>
      </c>
      <c r="F398" s="6" t="s">
        <v>1811</v>
      </c>
      <c r="G398" s="6" t="s">
        <v>1831</v>
      </c>
      <c r="H398" s="7" t="n">
        <v>0</v>
      </c>
      <c r="I398" s="8" t="n">
        <v>1</v>
      </c>
      <c r="J398" s="9" t="n">
        <v>676.42</v>
      </c>
      <c r="K398" s="8" t="s">
        <v>87</v>
      </c>
      <c r="L398" s="10" t="s">
        <v>98</v>
      </c>
      <c r="M398" s="10" t="s">
        <v>409</v>
      </c>
      <c r="N398" s="10" t="s">
        <v>1793</v>
      </c>
      <c r="O398" s="8" t="str">
        <f aca="false">IF(M398="prescription","Yes","No")</f>
        <v>Yes</v>
      </c>
      <c r="P398" s="6" t="s">
        <v>89</v>
      </c>
      <c r="Q398" s="6" t="s">
        <v>1926</v>
      </c>
    </row>
    <row r="399" customFormat="false" ht="15" hidden="false" customHeight="false" outlineLevel="0" collapsed="false">
      <c r="A399" s="6" t="s">
        <v>1927</v>
      </c>
      <c r="B399" s="6" t="s">
        <v>1928</v>
      </c>
      <c r="C399" s="6" t="s">
        <v>1132</v>
      </c>
      <c r="D399" s="6" t="s">
        <v>1929</v>
      </c>
      <c r="E399" s="6" t="s">
        <v>407</v>
      </c>
      <c r="F399" s="6" t="s">
        <v>1811</v>
      </c>
      <c r="G399" s="6" t="s">
        <v>1831</v>
      </c>
      <c r="H399" s="7" t="n">
        <v>0</v>
      </c>
      <c r="I399" s="8" t="n">
        <v>1</v>
      </c>
      <c r="J399" s="9" t="n">
        <v>269.43</v>
      </c>
      <c r="K399" s="8" t="s">
        <v>87</v>
      </c>
      <c r="L399" s="10" t="s">
        <v>98</v>
      </c>
      <c r="M399" s="10" t="s">
        <v>409</v>
      </c>
      <c r="N399" s="10" t="s">
        <v>1793</v>
      </c>
      <c r="O399" s="8" t="str">
        <f aca="false">IF(M399="prescription","Yes","No")</f>
        <v>Yes</v>
      </c>
      <c r="P399" s="6" t="s">
        <v>89</v>
      </c>
      <c r="Q399" s="6" t="s">
        <v>1930</v>
      </c>
    </row>
    <row r="400" customFormat="false" ht="15" hidden="false" customHeight="false" outlineLevel="0" collapsed="false">
      <c r="A400" s="6" t="s">
        <v>1931</v>
      </c>
      <c r="B400" s="6" t="s">
        <v>1932</v>
      </c>
      <c r="C400" s="6" t="s">
        <v>1809</v>
      </c>
      <c r="D400" s="6" t="s">
        <v>1925</v>
      </c>
      <c r="E400" s="6" t="s">
        <v>407</v>
      </c>
      <c r="F400" s="6" t="s">
        <v>1811</v>
      </c>
      <c r="G400" s="6" t="s">
        <v>1831</v>
      </c>
      <c r="H400" s="7" t="n">
        <v>1</v>
      </c>
      <c r="I400" s="8" t="n">
        <v>1</v>
      </c>
      <c r="J400" s="9" t="n">
        <v>840</v>
      </c>
      <c r="K400" s="8" t="s">
        <v>35</v>
      </c>
      <c r="L400" s="10" t="s">
        <v>98</v>
      </c>
      <c r="M400" s="10" t="s">
        <v>409</v>
      </c>
      <c r="N400" s="10" t="s">
        <v>1793</v>
      </c>
      <c r="O400" s="8" t="str">
        <f aca="false">IF(M400="prescription","Yes","No")</f>
        <v>Yes</v>
      </c>
      <c r="P400" s="6"/>
      <c r="Q400" s="6" t="s">
        <v>1933</v>
      </c>
    </row>
    <row r="401" customFormat="false" ht="15" hidden="false" customHeight="false" outlineLevel="0" collapsed="false">
      <c r="A401" s="6" t="s">
        <v>1934</v>
      </c>
      <c r="B401" s="6" t="s">
        <v>1935</v>
      </c>
      <c r="C401" s="6" t="s">
        <v>1936</v>
      </c>
      <c r="D401" s="6" t="s">
        <v>1937</v>
      </c>
      <c r="E401" s="6" t="s">
        <v>407</v>
      </c>
      <c r="F401" s="6" t="s">
        <v>1811</v>
      </c>
      <c r="G401" s="6" t="s">
        <v>1859</v>
      </c>
      <c r="H401" s="7" t="n">
        <v>0</v>
      </c>
      <c r="I401" s="8" t="n">
        <v>1</v>
      </c>
      <c r="J401" s="9" t="n">
        <v>733.06</v>
      </c>
      <c r="K401" s="8" t="s">
        <v>87</v>
      </c>
      <c r="L401" s="10" t="s">
        <v>98</v>
      </c>
      <c r="M401" s="10" t="s">
        <v>409</v>
      </c>
      <c r="N401" s="10" t="s">
        <v>1793</v>
      </c>
      <c r="O401" s="8" t="str">
        <f aca="false">IF(M401="prescription","Yes","No")</f>
        <v>Yes</v>
      </c>
      <c r="P401" s="6" t="s">
        <v>89</v>
      </c>
      <c r="Q401" s="6" t="s">
        <v>1938</v>
      </c>
    </row>
    <row r="402" customFormat="false" ht="15" hidden="false" customHeight="false" outlineLevel="0" collapsed="false">
      <c r="A402" s="6" t="s">
        <v>1939</v>
      </c>
      <c r="B402" s="6" t="s">
        <v>1940</v>
      </c>
      <c r="C402" s="6" t="s">
        <v>189</v>
      </c>
      <c r="D402" s="6" t="s">
        <v>1896</v>
      </c>
      <c r="E402" s="6" t="s">
        <v>106</v>
      </c>
      <c r="F402" s="6" t="s">
        <v>1724</v>
      </c>
      <c r="G402" s="6" t="s">
        <v>1825</v>
      </c>
      <c r="H402" s="7" t="n">
        <v>49381</v>
      </c>
      <c r="I402" s="8" t="n">
        <v>10</v>
      </c>
      <c r="J402" s="9" t="n">
        <v>44.08</v>
      </c>
      <c r="K402" s="8" t="s">
        <v>35</v>
      </c>
      <c r="L402" s="10" t="s">
        <v>98</v>
      </c>
      <c r="M402" s="10" t="s">
        <v>409</v>
      </c>
      <c r="N402" s="10" t="s">
        <v>1793</v>
      </c>
      <c r="O402" s="8" t="str">
        <f aca="false">IF(M402="prescription","Yes","No")</f>
        <v>Yes</v>
      </c>
      <c r="P402" s="6"/>
      <c r="Q402" s="6" t="s">
        <v>1941</v>
      </c>
    </row>
    <row r="403" customFormat="false" ht="15" hidden="false" customHeight="false" outlineLevel="0" collapsed="false">
      <c r="A403" s="6" t="s">
        <v>1942</v>
      </c>
      <c r="B403" s="6" t="s">
        <v>1943</v>
      </c>
      <c r="C403" s="6" t="s">
        <v>1166</v>
      </c>
      <c r="D403" s="6" t="s">
        <v>1944</v>
      </c>
      <c r="E403" s="6" t="s">
        <v>407</v>
      </c>
      <c r="F403" s="6" t="s">
        <v>1811</v>
      </c>
      <c r="G403" s="6" t="s">
        <v>1817</v>
      </c>
      <c r="H403" s="7" t="n">
        <v>0</v>
      </c>
      <c r="I403" s="8" t="n">
        <v>1</v>
      </c>
      <c r="J403" s="9" t="n">
        <v>3780</v>
      </c>
      <c r="K403" s="8" t="s">
        <v>87</v>
      </c>
      <c r="L403" s="10" t="s">
        <v>98</v>
      </c>
      <c r="M403" s="10" t="s">
        <v>409</v>
      </c>
      <c r="N403" s="10" t="s">
        <v>1793</v>
      </c>
      <c r="O403" s="8" t="str">
        <f aca="false">IF(M403="prescription","Yes","No")</f>
        <v>Yes</v>
      </c>
      <c r="P403" s="6" t="s">
        <v>89</v>
      </c>
      <c r="Q403" s="6" t="s">
        <v>1945</v>
      </c>
    </row>
    <row r="404" customFormat="false" ht="15" hidden="false" customHeight="false" outlineLevel="0" collapsed="false">
      <c r="A404" s="6" t="s">
        <v>1946</v>
      </c>
      <c r="B404" s="6" t="s">
        <v>1947</v>
      </c>
      <c r="C404" s="6" t="s">
        <v>1809</v>
      </c>
      <c r="D404" s="6" t="s">
        <v>1937</v>
      </c>
      <c r="E404" s="6" t="s">
        <v>407</v>
      </c>
      <c r="F404" s="6" t="s">
        <v>1811</v>
      </c>
      <c r="G404" s="6" t="s">
        <v>1859</v>
      </c>
      <c r="H404" s="7" t="n">
        <v>174</v>
      </c>
      <c r="I404" s="8" t="n">
        <v>1</v>
      </c>
      <c r="J404" s="9" t="n">
        <v>840</v>
      </c>
      <c r="K404" s="8" t="s">
        <v>35</v>
      </c>
      <c r="L404" s="10" t="s">
        <v>98</v>
      </c>
      <c r="M404" s="10" t="s">
        <v>409</v>
      </c>
      <c r="N404" s="10" t="s">
        <v>1793</v>
      </c>
      <c r="O404" s="8" t="str">
        <f aca="false">IF(M404="prescription","Yes","No")</f>
        <v>Yes</v>
      </c>
      <c r="P404" s="6"/>
      <c r="Q404" s="6" t="s">
        <v>1948</v>
      </c>
    </row>
    <row r="405" customFormat="false" ht="15" hidden="false" customHeight="false" outlineLevel="0" collapsed="false">
      <c r="A405" s="6" t="s">
        <v>1949</v>
      </c>
      <c r="B405" s="6" t="s">
        <v>1950</v>
      </c>
      <c r="C405" s="6" t="s">
        <v>1166</v>
      </c>
      <c r="D405" s="6" t="s">
        <v>1951</v>
      </c>
      <c r="E405" s="6" t="s">
        <v>407</v>
      </c>
      <c r="F405" s="6" t="s">
        <v>1811</v>
      </c>
      <c r="G405" s="6" t="s">
        <v>1952</v>
      </c>
      <c r="H405" s="7" t="n">
        <v>12</v>
      </c>
      <c r="I405" s="8" t="n">
        <v>1</v>
      </c>
      <c r="J405" s="9" t="n">
        <v>2520</v>
      </c>
      <c r="K405" s="8" t="s">
        <v>35</v>
      </c>
      <c r="L405" s="10" t="s">
        <v>98</v>
      </c>
      <c r="M405" s="10" t="s">
        <v>409</v>
      </c>
      <c r="N405" s="10" t="s">
        <v>1793</v>
      </c>
      <c r="O405" s="8" t="str">
        <f aca="false">IF(M405="prescription","Yes","No")</f>
        <v>Yes</v>
      </c>
      <c r="P405" s="6"/>
      <c r="Q405" s="6" t="s">
        <v>1953</v>
      </c>
    </row>
    <row r="406" customFormat="false" ht="15" hidden="false" customHeight="false" outlineLevel="0" collapsed="false">
      <c r="A406" s="6" t="s">
        <v>1954</v>
      </c>
      <c r="B406" s="6" t="s">
        <v>1955</v>
      </c>
      <c r="C406" s="6" t="s">
        <v>1166</v>
      </c>
      <c r="D406" s="6" t="s">
        <v>1956</v>
      </c>
      <c r="E406" s="6" t="s">
        <v>407</v>
      </c>
      <c r="F406" s="6" t="s">
        <v>1811</v>
      </c>
      <c r="G406" s="6" t="s">
        <v>1952</v>
      </c>
      <c r="H406" s="7" t="n">
        <v>5</v>
      </c>
      <c r="I406" s="8" t="n">
        <v>1</v>
      </c>
      <c r="J406" s="9" t="n">
        <v>6650</v>
      </c>
      <c r="K406" s="8" t="s">
        <v>35</v>
      </c>
      <c r="L406" s="10" t="s">
        <v>98</v>
      </c>
      <c r="M406" s="10" t="s">
        <v>409</v>
      </c>
      <c r="N406" s="10" t="s">
        <v>1793</v>
      </c>
      <c r="O406" s="8" t="str">
        <f aca="false">IF(M406="prescription","Yes","No")</f>
        <v>Yes</v>
      </c>
      <c r="P406" s="6"/>
      <c r="Q406" s="6" t="s">
        <v>1957</v>
      </c>
    </row>
    <row r="407" customFormat="false" ht="15" hidden="false" customHeight="false" outlineLevel="0" collapsed="false">
      <c r="A407" s="6" t="s">
        <v>1958</v>
      </c>
      <c r="B407" s="6" t="s">
        <v>1959</v>
      </c>
      <c r="C407" s="6" t="s">
        <v>1829</v>
      </c>
      <c r="D407" s="6" t="s">
        <v>1960</v>
      </c>
      <c r="E407" s="6" t="s">
        <v>407</v>
      </c>
      <c r="F407" s="6" t="s">
        <v>1811</v>
      </c>
      <c r="G407" s="6" t="s">
        <v>1905</v>
      </c>
      <c r="H407" s="7" t="n">
        <v>19</v>
      </c>
      <c r="I407" s="8" t="n">
        <v>1</v>
      </c>
      <c r="J407" s="9" t="n">
        <v>316.88</v>
      </c>
      <c r="K407" s="8" t="s">
        <v>35</v>
      </c>
      <c r="L407" s="10" t="s">
        <v>98</v>
      </c>
      <c r="M407" s="10" t="s">
        <v>409</v>
      </c>
      <c r="N407" s="10" t="s">
        <v>1793</v>
      </c>
      <c r="O407" s="8" t="str">
        <f aca="false">IF(M407="prescription","Yes","No")</f>
        <v>Yes</v>
      </c>
      <c r="P407" s="6"/>
      <c r="Q407" s="6" t="s">
        <v>1961</v>
      </c>
    </row>
    <row r="408" customFormat="false" ht="15" hidden="false" customHeight="false" outlineLevel="0" collapsed="false">
      <c r="A408" s="6" t="s">
        <v>1962</v>
      </c>
      <c r="B408" s="6" t="s">
        <v>1963</v>
      </c>
      <c r="C408" s="6" t="s">
        <v>543</v>
      </c>
      <c r="D408" s="6" t="s">
        <v>1964</v>
      </c>
      <c r="E408" s="6" t="s">
        <v>95</v>
      </c>
      <c r="F408" s="6" t="s">
        <v>182</v>
      </c>
      <c r="G408" s="6" t="s">
        <v>1965</v>
      </c>
      <c r="H408" s="7" t="n">
        <v>20</v>
      </c>
      <c r="I408" s="8" t="n">
        <v>10</v>
      </c>
      <c r="J408" s="9" t="n">
        <v>16.31</v>
      </c>
      <c r="K408" s="8" t="s">
        <v>35</v>
      </c>
      <c r="L408" s="10" t="s">
        <v>98</v>
      </c>
      <c r="M408" s="10" t="s">
        <v>409</v>
      </c>
      <c r="N408" s="10" t="s">
        <v>1966</v>
      </c>
      <c r="O408" s="8" t="str">
        <f aca="false">IF(M408="prescription","Yes","No")</f>
        <v>Yes</v>
      </c>
      <c r="P408" s="6" t="s">
        <v>1967</v>
      </c>
      <c r="Q408" s="6" t="s">
        <v>1968</v>
      </c>
    </row>
    <row r="409" customFormat="false" ht="15" hidden="false" customHeight="false" outlineLevel="0" collapsed="false">
      <c r="A409" s="6" t="s">
        <v>1969</v>
      </c>
      <c r="B409" s="6" t="s">
        <v>1970</v>
      </c>
      <c r="C409" s="6" t="s">
        <v>281</v>
      </c>
      <c r="D409" s="6" t="s">
        <v>1971</v>
      </c>
      <c r="E409" s="6" t="s">
        <v>292</v>
      </c>
      <c r="F409" s="6" t="s">
        <v>293</v>
      </c>
      <c r="G409" s="6" t="s">
        <v>1972</v>
      </c>
      <c r="H409" s="7" t="n">
        <v>0</v>
      </c>
      <c r="I409" s="8" t="n">
        <v>1</v>
      </c>
      <c r="J409" s="9" t="n">
        <v>82.39</v>
      </c>
      <c r="K409" s="8" t="s">
        <v>87</v>
      </c>
      <c r="L409" s="10" t="s">
        <v>98</v>
      </c>
      <c r="M409" s="10" t="s">
        <v>409</v>
      </c>
      <c r="N409" s="10" t="s">
        <v>1966</v>
      </c>
      <c r="O409" s="8" t="str">
        <f aca="false">IF(M409="prescription","Yes","No")</f>
        <v>Yes</v>
      </c>
      <c r="P409" s="6" t="s">
        <v>89</v>
      </c>
      <c r="Q409" s="6" t="s">
        <v>1973</v>
      </c>
    </row>
    <row r="410" customFormat="false" ht="15" hidden="false" customHeight="false" outlineLevel="0" collapsed="false">
      <c r="A410" s="6" t="s">
        <v>1974</v>
      </c>
      <c r="B410" s="6" t="s">
        <v>1975</v>
      </c>
      <c r="C410" s="6" t="s">
        <v>1976</v>
      </c>
      <c r="D410" s="6" t="s">
        <v>1977</v>
      </c>
      <c r="E410" s="6" t="s">
        <v>292</v>
      </c>
      <c r="F410" s="6" t="s">
        <v>293</v>
      </c>
      <c r="G410" s="6" t="s">
        <v>1978</v>
      </c>
      <c r="H410" s="7" t="n">
        <v>47</v>
      </c>
      <c r="I410" s="8" t="n">
        <v>1</v>
      </c>
      <c r="J410" s="9" t="n">
        <v>150.89</v>
      </c>
      <c r="K410" s="8" t="s">
        <v>35</v>
      </c>
      <c r="L410" s="10" t="s">
        <v>98</v>
      </c>
      <c r="M410" s="10" t="s">
        <v>409</v>
      </c>
      <c r="N410" s="10" t="s">
        <v>1966</v>
      </c>
      <c r="O410" s="8" t="str">
        <f aca="false">IF(M410="prescription","Yes","No")</f>
        <v>Yes</v>
      </c>
      <c r="P410" s="6"/>
      <c r="Q410" s="6" t="s">
        <v>1979</v>
      </c>
    </row>
    <row r="411" customFormat="false" ht="15" hidden="false" customHeight="false" outlineLevel="0" collapsed="false">
      <c r="A411" s="6" t="s">
        <v>1980</v>
      </c>
      <c r="B411" s="6" t="s">
        <v>1981</v>
      </c>
      <c r="C411" s="6" t="s">
        <v>1738</v>
      </c>
      <c r="D411" s="6" t="s">
        <v>1982</v>
      </c>
      <c r="E411" s="6" t="s">
        <v>292</v>
      </c>
      <c r="F411" s="6" t="s">
        <v>293</v>
      </c>
      <c r="G411" s="6" t="s">
        <v>1972</v>
      </c>
      <c r="H411" s="7" t="n">
        <v>4</v>
      </c>
      <c r="I411" s="8" t="n">
        <v>1</v>
      </c>
      <c r="J411" s="9" t="n">
        <v>323.07</v>
      </c>
      <c r="K411" s="8" t="s">
        <v>35</v>
      </c>
      <c r="L411" s="10" t="s">
        <v>98</v>
      </c>
      <c r="M411" s="10" t="s">
        <v>409</v>
      </c>
      <c r="N411" s="10" t="s">
        <v>1966</v>
      </c>
      <c r="O411" s="8" t="str">
        <f aca="false">IF(M411="prescription","Yes","No")</f>
        <v>Yes</v>
      </c>
      <c r="P411" s="6"/>
      <c r="Q411" s="6" t="s">
        <v>1983</v>
      </c>
    </row>
    <row r="412" customFormat="false" ht="15" hidden="false" customHeight="false" outlineLevel="0" collapsed="false">
      <c r="A412" s="6" t="s">
        <v>1984</v>
      </c>
      <c r="B412" s="6" t="s">
        <v>1985</v>
      </c>
      <c r="C412" s="6" t="s">
        <v>228</v>
      </c>
      <c r="D412" s="6" t="s">
        <v>1986</v>
      </c>
      <c r="E412" s="6" t="s">
        <v>112</v>
      </c>
      <c r="F412" s="6" t="s">
        <v>201</v>
      </c>
      <c r="G412" s="6" t="s">
        <v>202</v>
      </c>
      <c r="H412" s="7" t="n">
        <v>50</v>
      </c>
      <c r="I412" s="8" t="n">
        <v>1</v>
      </c>
      <c r="J412" s="9" t="n">
        <v>26.74</v>
      </c>
      <c r="K412" s="8" t="s">
        <v>35</v>
      </c>
      <c r="L412" s="10" t="s">
        <v>98</v>
      </c>
      <c r="M412" s="10" t="s">
        <v>409</v>
      </c>
      <c r="N412" s="10" t="s">
        <v>1966</v>
      </c>
      <c r="O412" s="8" t="str">
        <f aca="false">IF(M412="prescription","Yes","No")</f>
        <v>Yes</v>
      </c>
      <c r="P412" s="6" t="s">
        <v>1967</v>
      </c>
      <c r="Q412" s="6" t="s">
        <v>1987</v>
      </c>
    </row>
    <row r="413" customFormat="false" ht="15" hidden="false" customHeight="false" outlineLevel="0" collapsed="false">
      <c r="A413" s="6" t="s">
        <v>1988</v>
      </c>
      <c r="B413" s="6" t="s">
        <v>1989</v>
      </c>
      <c r="C413" s="6" t="s">
        <v>489</v>
      </c>
      <c r="D413" s="6" t="s">
        <v>1990</v>
      </c>
      <c r="E413" s="6" t="s">
        <v>95</v>
      </c>
      <c r="F413" s="6" t="s">
        <v>182</v>
      </c>
      <c r="G413" s="6" t="s">
        <v>1991</v>
      </c>
      <c r="H413" s="7" t="n">
        <v>521</v>
      </c>
      <c r="I413" s="8" t="n">
        <v>10</v>
      </c>
      <c r="J413" s="9" t="n">
        <v>48.52</v>
      </c>
      <c r="K413" s="8" t="s">
        <v>35</v>
      </c>
      <c r="L413" s="10" t="s">
        <v>98</v>
      </c>
      <c r="M413" s="10" t="s">
        <v>409</v>
      </c>
      <c r="N413" s="10" t="s">
        <v>1966</v>
      </c>
      <c r="O413" s="8" t="str">
        <f aca="false">IF(M413="prescription","Yes","No")</f>
        <v>Yes</v>
      </c>
      <c r="P413" s="6"/>
      <c r="Q413" s="6" t="s">
        <v>1992</v>
      </c>
    </row>
    <row r="414" customFormat="false" ht="15" hidden="false" customHeight="false" outlineLevel="0" collapsed="false">
      <c r="A414" s="6" t="s">
        <v>1993</v>
      </c>
      <c r="B414" s="6" t="s">
        <v>1994</v>
      </c>
      <c r="C414" s="6" t="s">
        <v>569</v>
      </c>
      <c r="D414" s="6" t="s">
        <v>1995</v>
      </c>
      <c r="E414" s="6" t="s">
        <v>292</v>
      </c>
      <c r="F414" s="6" t="s">
        <v>293</v>
      </c>
      <c r="G414" s="6" t="s">
        <v>1996</v>
      </c>
      <c r="H414" s="7" t="n">
        <v>8</v>
      </c>
      <c r="I414" s="8" t="n">
        <v>1</v>
      </c>
      <c r="J414" s="9" t="n">
        <v>242.09</v>
      </c>
      <c r="K414" s="8" t="s">
        <v>35</v>
      </c>
      <c r="L414" s="10" t="s">
        <v>98</v>
      </c>
      <c r="M414" s="10" t="s">
        <v>409</v>
      </c>
      <c r="N414" s="10" t="s">
        <v>1966</v>
      </c>
      <c r="O414" s="8" t="str">
        <f aca="false">IF(M414="prescription","Yes","No")</f>
        <v>Yes</v>
      </c>
      <c r="P414" s="6"/>
      <c r="Q414" s="6" t="s">
        <v>1997</v>
      </c>
    </row>
    <row r="415" customFormat="false" ht="15" hidden="false" customHeight="false" outlineLevel="0" collapsed="false">
      <c r="A415" s="6" t="s">
        <v>1998</v>
      </c>
      <c r="B415" s="6" t="s">
        <v>1999</v>
      </c>
      <c r="C415" s="6" t="s">
        <v>1212</v>
      </c>
      <c r="D415" s="6" t="s">
        <v>2000</v>
      </c>
      <c r="E415" s="6" t="s">
        <v>292</v>
      </c>
      <c r="F415" s="6" t="s">
        <v>293</v>
      </c>
      <c r="G415" s="6" t="s">
        <v>1972</v>
      </c>
      <c r="H415" s="7" t="n">
        <v>328</v>
      </c>
      <c r="I415" s="8" t="n">
        <v>1</v>
      </c>
      <c r="J415" s="9" t="n">
        <v>63.91</v>
      </c>
      <c r="K415" s="8" t="s">
        <v>35</v>
      </c>
      <c r="L415" s="10" t="s">
        <v>98</v>
      </c>
      <c r="M415" s="10" t="s">
        <v>409</v>
      </c>
      <c r="N415" s="10" t="s">
        <v>1966</v>
      </c>
      <c r="O415" s="8" t="str">
        <f aca="false">IF(M415="prescription","Yes","No")</f>
        <v>Yes</v>
      </c>
      <c r="P415" s="6"/>
      <c r="Q415" s="6" t="s">
        <v>2001</v>
      </c>
    </row>
    <row r="416" customFormat="false" ht="15" hidden="false" customHeight="false" outlineLevel="0" collapsed="false">
      <c r="A416" s="6" t="s">
        <v>2002</v>
      </c>
      <c r="B416" s="6" t="s">
        <v>2003</v>
      </c>
      <c r="C416" s="6" t="s">
        <v>1738</v>
      </c>
      <c r="D416" s="6" t="s">
        <v>2004</v>
      </c>
      <c r="E416" s="6" t="s">
        <v>292</v>
      </c>
      <c r="F416" s="6" t="s">
        <v>293</v>
      </c>
      <c r="G416" s="6" t="s">
        <v>1972</v>
      </c>
      <c r="H416" s="7" t="n">
        <v>45</v>
      </c>
      <c r="I416" s="8" t="n">
        <v>1</v>
      </c>
      <c r="J416" s="9" t="n">
        <v>313.78</v>
      </c>
      <c r="K416" s="8" t="s">
        <v>35</v>
      </c>
      <c r="L416" s="10" t="s">
        <v>98</v>
      </c>
      <c r="M416" s="10" t="s">
        <v>409</v>
      </c>
      <c r="N416" s="10" t="s">
        <v>1966</v>
      </c>
      <c r="O416" s="8" t="str">
        <f aca="false">IF(M416="prescription","Yes","No")</f>
        <v>Yes</v>
      </c>
      <c r="P416" s="6"/>
      <c r="Q416" s="6" t="s">
        <v>2005</v>
      </c>
    </row>
    <row r="417" customFormat="false" ht="15" hidden="false" customHeight="false" outlineLevel="0" collapsed="false">
      <c r="A417" s="6" t="s">
        <v>2006</v>
      </c>
      <c r="B417" s="6" t="s">
        <v>2007</v>
      </c>
      <c r="C417" s="6" t="s">
        <v>281</v>
      </c>
      <c r="D417" s="6" t="s">
        <v>2000</v>
      </c>
      <c r="E417" s="6" t="s">
        <v>292</v>
      </c>
      <c r="F417" s="6" t="s">
        <v>293</v>
      </c>
      <c r="G417" s="6" t="s">
        <v>1972</v>
      </c>
      <c r="H417" s="7" t="n">
        <v>0</v>
      </c>
      <c r="I417" s="8" t="n">
        <v>1</v>
      </c>
      <c r="J417" s="9" t="n">
        <v>35.54</v>
      </c>
      <c r="K417" s="8" t="s">
        <v>87</v>
      </c>
      <c r="L417" s="10" t="s">
        <v>98</v>
      </c>
      <c r="M417" s="10" t="s">
        <v>409</v>
      </c>
      <c r="N417" s="10" t="s">
        <v>1966</v>
      </c>
      <c r="O417" s="8" t="str">
        <f aca="false">IF(M417="prescription","Yes","No")</f>
        <v>Yes</v>
      </c>
      <c r="P417" s="6" t="s">
        <v>89</v>
      </c>
      <c r="Q417" s="6" t="s">
        <v>2008</v>
      </c>
    </row>
    <row r="418" customFormat="false" ht="15" hidden="false" customHeight="false" outlineLevel="0" collapsed="false">
      <c r="A418" s="6" t="s">
        <v>2009</v>
      </c>
      <c r="B418" s="6" t="s">
        <v>2010</v>
      </c>
      <c r="C418" s="6" t="s">
        <v>199</v>
      </c>
      <c r="D418" s="6" t="s">
        <v>2011</v>
      </c>
      <c r="E418" s="6" t="s">
        <v>106</v>
      </c>
      <c r="F418" s="6" t="s">
        <v>2012</v>
      </c>
      <c r="G418" s="6" t="s">
        <v>2013</v>
      </c>
      <c r="H418" s="7" t="n">
        <v>30</v>
      </c>
      <c r="I418" s="8" t="n">
        <v>30</v>
      </c>
      <c r="J418" s="9" t="n">
        <v>132.81</v>
      </c>
      <c r="K418" s="8" t="s">
        <v>35</v>
      </c>
      <c r="L418" s="10" t="s">
        <v>98</v>
      </c>
      <c r="M418" s="10" t="s">
        <v>409</v>
      </c>
      <c r="N418" s="10" t="s">
        <v>2014</v>
      </c>
      <c r="O418" s="8" t="str">
        <f aca="false">IF(M418="prescription","Yes","No")</f>
        <v>Yes</v>
      </c>
      <c r="P418" s="6"/>
      <c r="Q418" s="6" t="s">
        <v>2015</v>
      </c>
    </row>
    <row r="419" customFormat="false" ht="15" hidden="false" customHeight="false" outlineLevel="0" collapsed="false">
      <c r="A419" s="6" t="s">
        <v>2016</v>
      </c>
      <c r="B419" s="6" t="s">
        <v>2017</v>
      </c>
      <c r="C419" s="6" t="s">
        <v>424</v>
      </c>
      <c r="D419" s="6" t="s">
        <v>2018</v>
      </c>
      <c r="E419" s="6" t="s">
        <v>106</v>
      </c>
      <c r="F419" s="6" t="s">
        <v>2012</v>
      </c>
      <c r="G419" s="6" t="s">
        <v>2013</v>
      </c>
      <c r="H419" s="7" t="n">
        <v>6570</v>
      </c>
      <c r="I419" s="8" t="n">
        <v>30</v>
      </c>
      <c r="J419" s="9" t="n">
        <v>313.62</v>
      </c>
      <c r="K419" s="8" t="s">
        <v>35</v>
      </c>
      <c r="L419" s="10" t="s">
        <v>98</v>
      </c>
      <c r="M419" s="10" t="s">
        <v>409</v>
      </c>
      <c r="N419" s="10" t="s">
        <v>2014</v>
      </c>
      <c r="O419" s="8" t="str">
        <f aca="false">IF(M419="prescription","Yes","No")</f>
        <v>Yes</v>
      </c>
      <c r="P419" s="6"/>
      <c r="Q419" s="6" t="s">
        <v>2019</v>
      </c>
    </row>
    <row r="420" customFormat="false" ht="15" hidden="false" customHeight="false" outlineLevel="0" collapsed="false">
      <c r="A420" s="6" t="s">
        <v>2020</v>
      </c>
      <c r="B420" s="6" t="s">
        <v>2021</v>
      </c>
      <c r="C420" s="6" t="s">
        <v>424</v>
      </c>
      <c r="D420" s="6" t="s">
        <v>2022</v>
      </c>
      <c r="E420" s="6" t="s">
        <v>95</v>
      </c>
      <c r="F420" s="6" t="s">
        <v>2012</v>
      </c>
      <c r="G420" s="6" t="s">
        <v>2013</v>
      </c>
      <c r="H420" s="7" t="n">
        <v>4200</v>
      </c>
      <c r="I420" s="8" t="n">
        <v>30</v>
      </c>
      <c r="J420" s="9" t="n">
        <v>139.82</v>
      </c>
      <c r="K420" s="8" t="s">
        <v>35</v>
      </c>
      <c r="L420" s="10" t="s">
        <v>98</v>
      </c>
      <c r="M420" s="10" t="s">
        <v>409</v>
      </c>
      <c r="N420" s="10" t="s">
        <v>2014</v>
      </c>
      <c r="O420" s="8" t="str">
        <f aca="false">IF(M420="prescription","Yes","No")</f>
        <v>Yes</v>
      </c>
      <c r="P420" s="6"/>
      <c r="Q420" s="6" t="s">
        <v>2023</v>
      </c>
    </row>
    <row r="421" customFormat="false" ht="15" hidden="false" customHeight="false" outlineLevel="0" collapsed="false">
      <c r="A421" s="6" t="s">
        <v>2024</v>
      </c>
      <c r="B421" s="6" t="s">
        <v>2025</v>
      </c>
      <c r="C421" s="6" t="s">
        <v>2026</v>
      </c>
      <c r="D421" s="6" t="s">
        <v>2027</v>
      </c>
      <c r="E421" s="6" t="s">
        <v>95</v>
      </c>
      <c r="F421" s="6" t="s">
        <v>2012</v>
      </c>
      <c r="G421" s="6" t="s">
        <v>2028</v>
      </c>
      <c r="H421" s="7" t="n">
        <v>210</v>
      </c>
      <c r="I421" s="8" t="n">
        <v>30</v>
      </c>
      <c r="J421" s="9" t="n">
        <v>256.29</v>
      </c>
      <c r="K421" s="8" t="s">
        <v>35</v>
      </c>
      <c r="L421" s="10" t="s">
        <v>98</v>
      </c>
      <c r="M421" s="10" t="s">
        <v>409</v>
      </c>
      <c r="N421" s="10" t="s">
        <v>2014</v>
      </c>
      <c r="O421" s="8" t="str">
        <f aca="false">IF(M421="prescription","Yes","No")</f>
        <v>Yes</v>
      </c>
      <c r="P421" s="6"/>
      <c r="Q421" s="6" t="s">
        <v>2029</v>
      </c>
    </row>
    <row r="422" customFormat="false" ht="15" hidden="false" customHeight="false" outlineLevel="0" collapsed="false">
      <c r="A422" s="6" t="s">
        <v>2030</v>
      </c>
      <c r="B422" s="6" t="s">
        <v>2031</v>
      </c>
      <c r="C422" s="6" t="s">
        <v>2026</v>
      </c>
      <c r="D422" s="6" t="s">
        <v>2032</v>
      </c>
      <c r="E422" s="6" t="s">
        <v>95</v>
      </c>
      <c r="F422" s="6" t="s">
        <v>2012</v>
      </c>
      <c r="G422" s="6" t="s">
        <v>2028</v>
      </c>
      <c r="H422" s="7" t="n">
        <v>310</v>
      </c>
      <c r="I422" s="8" t="n">
        <v>30</v>
      </c>
      <c r="J422" s="9" t="n">
        <v>217</v>
      </c>
      <c r="K422" s="8" t="s">
        <v>35</v>
      </c>
      <c r="L422" s="10" t="s">
        <v>98</v>
      </c>
      <c r="M422" s="10" t="s">
        <v>409</v>
      </c>
      <c r="N422" s="10" t="s">
        <v>2014</v>
      </c>
      <c r="O422" s="8" t="str">
        <f aca="false">IF(M422="prescription","Yes","No")</f>
        <v>Yes</v>
      </c>
      <c r="P422" s="6"/>
      <c r="Q422" s="6" t="s">
        <v>2033</v>
      </c>
    </row>
    <row r="423" customFormat="false" ht="15" hidden="false" customHeight="false" outlineLevel="0" collapsed="false">
      <c r="A423" s="6" t="s">
        <v>2034</v>
      </c>
      <c r="B423" s="6" t="s">
        <v>2035</v>
      </c>
      <c r="C423" s="6" t="s">
        <v>669</v>
      </c>
      <c r="D423" s="6" t="s">
        <v>2036</v>
      </c>
      <c r="E423" s="6" t="s">
        <v>106</v>
      </c>
      <c r="F423" s="6" t="s">
        <v>2012</v>
      </c>
      <c r="G423" s="6" t="s">
        <v>2037</v>
      </c>
      <c r="H423" s="7" t="n">
        <v>2376</v>
      </c>
      <c r="I423" s="8" t="n">
        <v>10</v>
      </c>
      <c r="J423" s="9" t="n">
        <v>94.72</v>
      </c>
      <c r="K423" s="8" t="s">
        <v>35</v>
      </c>
      <c r="L423" s="10" t="s">
        <v>98</v>
      </c>
      <c r="M423" s="10" t="s">
        <v>409</v>
      </c>
      <c r="N423" s="10" t="s">
        <v>2014</v>
      </c>
      <c r="O423" s="8" t="str">
        <f aca="false">IF(M423="prescription","Yes","No")</f>
        <v>Yes</v>
      </c>
      <c r="P423" s="6"/>
      <c r="Q423" s="6" t="s">
        <v>2038</v>
      </c>
    </row>
    <row r="424" customFormat="false" ht="15" hidden="false" customHeight="false" outlineLevel="0" collapsed="false">
      <c r="A424" s="6" t="s">
        <v>2039</v>
      </c>
      <c r="B424" s="6" t="s">
        <v>2040</v>
      </c>
      <c r="C424" s="6" t="s">
        <v>723</v>
      </c>
      <c r="D424" s="6" t="s">
        <v>2041</v>
      </c>
      <c r="E424" s="6" t="s">
        <v>95</v>
      </c>
      <c r="F424" s="6" t="s">
        <v>2012</v>
      </c>
      <c r="G424" s="6" t="s">
        <v>2037</v>
      </c>
      <c r="H424" s="7" t="n">
        <v>261</v>
      </c>
      <c r="I424" s="8" t="n">
        <v>10</v>
      </c>
      <c r="J424" s="9" t="n">
        <v>24.39</v>
      </c>
      <c r="K424" s="8" t="s">
        <v>35</v>
      </c>
      <c r="L424" s="10" t="s">
        <v>98</v>
      </c>
      <c r="M424" s="10" t="s">
        <v>409</v>
      </c>
      <c r="N424" s="10" t="s">
        <v>2014</v>
      </c>
      <c r="O424" s="8" t="str">
        <f aca="false">IF(M424="prescription","Yes","No")</f>
        <v>Yes</v>
      </c>
      <c r="P424" s="6"/>
      <c r="Q424" s="6" t="s">
        <v>2042</v>
      </c>
    </row>
    <row r="425" customFormat="false" ht="15" hidden="false" customHeight="false" outlineLevel="0" collapsed="false">
      <c r="A425" s="6" t="s">
        <v>2043</v>
      </c>
      <c r="B425" s="6" t="s">
        <v>2044</v>
      </c>
      <c r="C425" s="6" t="s">
        <v>424</v>
      </c>
      <c r="D425" s="6" t="s">
        <v>2011</v>
      </c>
      <c r="E425" s="6" t="s">
        <v>106</v>
      </c>
      <c r="F425" s="6" t="s">
        <v>2012</v>
      </c>
      <c r="G425" s="6" t="s">
        <v>2013</v>
      </c>
      <c r="H425" s="7" t="n">
        <v>24540</v>
      </c>
      <c r="I425" s="8" t="n">
        <v>30</v>
      </c>
      <c r="J425" s="9" t="n">
        <v>65.57</v>
      </c>
      <c r="K425" s="8" t="s">
        <v>35</v>
      </c>
      <c r="L425" s="10" t="s">
        <v>98</v>
      </c>
      <c r="M425" s="10" t="s">
        <v>409</v>
      </c>
      <c r="N425" s="10" t="s">
        <v>2014</v>
      </c>
      <c r="O425" s="8" t="str">
        <f aca="false">IF(M425="prescription","Yes","No")</f>
        <v>Yes</v>
      </c>
      <c r="P425" s="6"/>
      <c r="Q425" s="6" t="s">
        <v>2045</v>
      </c>
    </row>
    <row r="426" customFormat="false" ht="15" hidden="false" customHeight="false" outlineLevel="0" collapsed="false">
      <c r="A426" s="6" t="s">
        <v>2046</v>
      </c>
      <c r="B426" s="6" t="s">
        <v>2047</v>
      </c>
      <c r="C426" s="6" t="s">
        <v>394</v>
      </c>
      <c r="D426" s="6" t="s">
        <v>2048</v>
      </c>
      <c r="E426" s="6" t="s">
        <v>95</v>
      </c>
      <c r="F426" s="6" t="s">
        <v>2012</v>
      </c>
      <c r="G426" s="6" t="s">
        <v>2049</v>
      </c>
      <c r="H426" s="7" t="n">
        <v>4162</v>
      </c>
      <c r="I426" s="8" t="n">
        <v>4</v>
      </c>
      <c r="J426" s="9" t="n">
        <v>4.64</v>
      </c>
      <c r="K426" s="8" t="s">
        <v>35</v>
      </c>
      <c r="L426" s="10" t="s">
        <v>98</v>
      </c>
      <c r="M426" s="10" t="s">
        <v>409</v>
      </c>
      <c r="N426" s="10" t="s">
        <v>2014</v>
      </c>
      <c r="O426" s="8" t="str">
        <f aca="false">IF(M426="prescription","Yes","No")</f>
        <v>Yes</v>
      </c>
      <c r="P426" s="6"/>
      <c r="Q426" s="6" t="s">
        <v>2050</v>
      </c>
    </row>
    <row r="427" customFormat="false" ht="15" hidden="false" customHeight="false" outlineLevel="0" collapsed="false">
      <c r="A427" s="6" t="s">
        <v>2051</v>
      </c>
      <c r="B427" s="6" t="s">
        <v>2052</v>
      </c>
      <c r="C427" s="6" t="s">
        <v>1039</v>
      </c>
      <c r="D427" s="6" t="s">
        <v>2053</v>
      </c>
      <c r="E427" s="6" t="s">
        <v>106</v>
      </c>
      <c r="F427" s="6" t="s">
        <v>2012</v>
      </c>
      <c r="G427" s="6" t="s">
        <v>2013</v>
      </c>
      <c r="H427" s="7" t="n">
        <v>37300</v>
      </c>
      <c r="I427" s="8" t="n">
        <v>10</v>
      </c>
      <c r="J427" s="9" t="n">
        <v>44.47</v>
      </c>
      <c r="K427" s="8" t="s">
        <v>35</v>
      </c>
      <c r="L427" s="10" t="s">
        <v>98</v>
      </c>
      <c r="M427" s="10" t="s">
        <v>409</v>
      </c>
      <c r="N427" s="10" t="s">
        <v>2014</v>
      </c>
      <c r="O427" s="8" t="str">
        <f aca="false">IF(M427="prescription","Yes","No")</f>
        <v>Yes</v>
      </c>
      <c r="P427" s="6"/>
      <c r="Q427" s="6" t="s">
        <v>2054</v>
      </c>
    </row>
    <row r="428" customFormat="false" ht="15" hidden="false" customHeight="false" outlineLevel="0" collapsed="false">
      <c r="A428" s="6" t="s">
        <v>2055</v>
      </c>
      <c r="B428" s="6" t="s">
        <v>2056</v>
      </c>
      <c r="C428" s="6" t="s">
        <v>140</v>
      </c>
      <c r="D428" s="6" t="s">
        <v>2053</v>
      </c>
      <c r="E428" s="6" t="s">
        <v>106</v>
      </c>
      <c r="F428" s="6" t="s">
        <v>2012</v>
      </c>
      <c r="G428" s="6" t="s">
        <v>2013</v>
      </c>
      <c r="H428" s="7" t="n">
        <v>0</v>
      </c>
      <c r="I428" s="8" t="n">
        <v>30</v>
      </c>
      <c r="J428" s="9" t="n">
        <v>216.49</v>
      </c>
      <c r="K428" s="8" t="s">
        <v>87</v>
      </c>
      <c r="L428" s="10" t="s">
        <v>98</v>
      </c>
      <c r="M428" s="10" t="s">
        <v>409</v>
      </c>
      <c r="N428" s="10" t="s">
        <v>2014</v>
      </c>
      <c r="O428" s="8" t="str">
        <f aca="false">IF(M428="prescription","Yes","No")</f>
        <v>Yes</v>
      </c>
      <c r="P428" s="6" t="s">
        <v>89</v>
      </c>
      <c r="Q428" s="6" t="s">
        <v>2057</v>
      </c>
    </row>
    <row r="429" customFormat="false" ht="15" hidden="false" customHeight="false" outlineLevel="0" collapsed="false">
      <c r="A429" s="6" t="s">
        <v>2058</v>
      </c>
      <c r="B429" s="6" t="s">
        <v>2059</v>
      </c>
      <c r="C429" s="6" t="s">
        <v>2060</v>
      </c>
      <c r="D429" s="6" t="s">
        <v>2061</v>
      </c>
      <c r="E429" s="6" t="s">
        <v>407</v>
      </c>
      <c r="F429" s="6" t="s">
        <v>2012</v>
      </c>
      <c r="G429" s="6" t="s">
        <v>2049</v>
      </c>
      <c r="H429" s="7" t="n">
        <v>500</v>
      </c>
      <c r="I429" s="8" t="n">
        <v>1</v>
      </c>
      <c r="J429" s="9" t="n">
        <v>40.4</v>
      </c>
      <c r="K429" s="8" t="s">
        <v>35</v>
      </c>
      <c r="L429" s="10" t="s">
        <v>98</v>
      </c>
      <c r="M429" s="10" t="s">
        <v>409</v>
      </c>
      <c r="N429" s="10" t="s">
        <v>2014</v>
      </c>
      <c r="O429" s="8" t="str">
        <f aca="false">IF(M429="prescription","Yes","No")</f>
        <v>Yes</v>
      </c>
      <c r="P429" s="6"/>
      <c r="Q429" s="6" t="s">
        <v>2062</v>
      </c>
    </row>
    <row r="430" customFormat="false" ht="15" hidden="false" customHeight="false" outlineLevel="0" collapsed="false">
      <c r="A430" s="6" t="s">
        <v>2063</v>
      </c>
      <c r="B430" s="6" t="s">
        <v>2064</v>
      </c>
      <c r="C430" s="6" t="s">
        <v>2065</v>
      </c>
      <c r="D430" s="6" t="s">
        <v>2066</v>
      </c>
      <c r="E430" s="6" t="s">
        <v>95</v>
      </c>
      <c r="F430" s="6" t="s">
        <v>2012</v>
      </c>
      <c r="G430" s="6" t="s">
        <v>2028</v>
      </c>
      <c r="H430" s="7" t="n">
        <v>4396</v>
      </c>
      <c r="I430" s="8" t="n">
        <v>10</v>
      </c>
      <c r="J430" s="9" t="n">
        <v>83.32</v>
      </c>
      <c r="K430" s="8" t="s">
        <v>35</v>
      </c>
      <c r="L430" s="10" t="s">
        <v>98</v>
      </c>
      <c r="M430" s="10" t="s">
        <v>409</v>
      </c>
      <c r="N430" s="10" t="s">
        <v>2014</v>
      </c>
      <c r="O430" s="8" t="str">
        <f aca="false">IF(M430="prescription","Yes","No")</f>
        <v>Yes</v>
      </c>
      <c r="P430" s="6"/>
      <c r="Q430" s="6" t="s">
        <v>2067</v>
      </c>
    </row>
    <row r="431" customFormat="false" ht="15" hidden="false" customHeight="false" outlineLevel="0" collapsed="false">
      <c r="A431" s="6" t="s">
        <v>2068</v>
      </c>
      <c r="B431" s="6" t="s">
        <v>2069</v>
      </c>
      <c r="C431" s="6" t="s">
        <v>1179</v>
      </c>
      <c r="D431" s="6" t="s">
        <v>2066</v>
      </c>
      <c r="E431" s="6" t="s">
        <v>95</v>
      </c>
      <c r="F431" s="6" t="s">
        <v>2012</v>
      </c>
      <c r="G431" s="6" t="s">
        <v>2028</v>
      </c>
      <c r="H431" s="7" t="n">
        <v>414</v>
      </c>
      <c r="I431" s="8" t="n">
        <v>10</v>
      </c>
      <c r="J431" s="9" t="n">
        <v>83.32</v>
      </c>
      <c r="K431" s="8" t="s">
        <v>35</v>
      </c>
      <c r="L431" s="10" t="s">
        <v>98</v>
      </c>
      <c r="M431" s="10" t="s">
        <v>409</v>
      </c>
      <c r="N431" s="10" t="s">
        <v>2014</v>
      </c>
      <c r="O431" s="8" t="str">
        <f aca="false">IF(M431="prescription","Yes","No")</f>
        <v>Yes</v>
      </c>
      <c r="P431" s="6"/>
      <c r="Q431" s="6" t="s">
        <v>2070</v>
      </c>
    </row>
    <row r="432" customFormat="false" ht="15" hidden="false" customHeight="false" outlineLevel="0" collapsed="false">
      <c r="A432" s="6" t="s">
        <v>2071</v>
      </c>
      <c r="B432" s="6" t="s">
        <v>2072</v>
      </c>
      <c r="C432" s="6" t="s">
        <v>2073</v>
      </c>
      <c r="D432" s="6" t="s">
        <v>2074</v>
      </c>
      <c r="E432" s="6" t="s">
        <v>2075</v>
      </c>
      <c r="F432" s="6" t="s">
        <v>2076</v>
      </c>
      <c r="G432" s="6" t="s">
        <v>2077</v>
      </c>
      <c r="H432" s="7" t="n">
        <v>104</v>
      </c>
      <c r="I432" s="8" t="n">
        <v>1</v>
      </c>
      <c r="J432" s="9" t="n">
        <v>35.89</v>
      </c>
      <c r="K432" s="8" t="s">
        <v>35</v>
      </c>
      <c r="L432" s="10" t="s">
        <v>98</v>
      </c>
      <c r="M432" s="10" t="s">
        <v>409</v>
      </c>
      <c r="N432" s="10" t="s">
        <v>2078</v>
      </c>
      <c r="O432" s="8" t="str">
        <f aca="false">IF(M432="prescription","Yes","No")</f>
        <v>Yes</v>
      </c>
      <c r="P432" s="6"/>
      <c r="Q432" s="6" t="s">
        <v>2079</v>
      </c>
    </row>
    <row r="433" customFormat="false" ht="15" hidden="false" customHeight="false" outlineLevel="0" collapsed="false">
      <c r="A433" s="6" t="s">
        <v>2080</v>
      </c>
      <c r="B433" s="6" t="s">
        <v>2081</v>
      </c>
      <c r="C433" s="6" t="s">
        <v>2073</v>
      </c>
      <c r="D433" s="6" t="s">
        <v>2082</v>
      </c>
      <c r="E433" s="6" t="s">
        <v>2075</v>
      </c>
      <c r="F433" s="6" t="s">
        <v>2076</v>
      </c>
      <c r="G433" s="6" t="s">
        <v>2077</v>
      </c>
      <c r="H433" s="7" t="n">
        <v>466</v>
      </c>
      <c r="I433" s="8" t="n">
        <v>5</v>
      </c>
      <c r="J433" s="9" t="n">
        <v>203.11</v>
      </c>
      <c r="K433" s="8" t="s">
        <v>35</v>
      </c>
      <c r="L433" s="10" t="s">
        <v>98</v>
      </c>
      <c r="M433" s="10" t="s">
        <v>409</v>
      </c>
      <c r="N433" s="10" t="s">
        <v>2078</v>
      </c>
      <c r="O433" s="8" t="str">
        <f aca="false">IF(M433="prescription","Yes","No")</f>
        <v>Yes</v>
      </c>
      <c r="P433" s="6"/>
      <c r="Q433" s="6" t="s">
        <v>2083</v>
      </c>
    </row>
    <row r="434" customFormat="false" ht="15" hidden="false" customHeight="false" outlineLevel="0" collapsed="false">
      <c r="A434" s="6" t="s">
        <v>2084</v>
      </c>
      <c r="B434" s="6" t="s">
        <v>2085</v>
      </c>
      <c r="C434" s="6" t="s">
        <v>1166</v>
      </c>
      <c r="D434" s="6" t="s">
        <v>2086</v>
      </c>
      <c r="E434" s="6" t="s">
        <v>407</v>
      </c>
      <c r="F434" s="6" t="s">
        <v>2076</v>
      </c>
      <c r="G434" s="6" t="s">
        <v>2087</v>
      </c>
      <c r="H434" s="7" t="n">
        <v>50</v>
      </c>
      <c r="I434" s="8" t="n">
        <v>1</v>
      </c>
      <c r="J434" s="9" t="n">
        <v>2217.64</v>
      </c>
      <c r="K434" s="8" t="s">
        <v>35</v>
      </c>
      <c r="L434" s="10" t="s">
        <v>98</v>
      </c>
      <c r="M434" s="10" t="s">
        <v>409</v>
      </c>
      <c r="N434" s="10" t="s">
        <v>2078</v>
      </c>
      <c r="O434" s="8" t="str">
        <f aca="false">IF(M434="prescription","Yes","No")</f>
        <v>Yes</v>
      </c>
      <c r="P434" s="6"/>
      <c r="Q434" s="6" t="s">
        <v>2088</v>
      </c>
    </row>
    <row r="435" customFormat="false" ht="15" hidden="false" customHeight="false" outlineLevel="0" collapsed="false">
      <c r="A435" s="6" t="s">
        <v>2089</v>
      </c>
      <c r="B435" s="6" t="s">
        <v>2090</v>
      </c>
      <c r="C435" s="6" t="s">
        <v>1166</v>
      </c>
      <c r="D435" s="6" t="s">
        <v>2091</v>
      </c>
      <c r="E435" s="6" t="s">
        <v>407</v>
      </c>
      <c r="F435" s="6" t="s">
        <v>2076</v>
      </c>
      <c r="G435" s="6" t="s">
        <v>2087</v>
      </c>
      <c r="H435" s="7" t="n">
        <v>8</v>
      </c>
      <c r="I435" s="8" t="n">
        <v>1</v>
      </c>
      <c r="J435" s="9" t="n">
        <v>5600</v>
      </c>
      <c r="K435" s="8" t="s">
        <v>35</v>
      </c>
      <c r="L435" s="10" t="s">
        <v>98</v>
      </c>
      <c r="M435" s="10" t="s">
        <v>409</v>
      </c>
      <c r="N435" s="10" t="s">
        <v>2078</v>
      </c>
      <c r="O435" s="8" t="str">
        <f aca="false">IF(M435="prescription","Yes","No")</f>
        <v>Yes</v>
      </c>
      <c r="P435" s="6"/>
      <c r="Q435" s="6" t="s">
        <v>2092</v>
      </c>
    </row>
    <row r="436" customFormat="false" ht="15" hidden="false" customHeight="false" outlineLevel="0" collapsed="false">
      <c r="A436" s="6" t="s">
        <v>2093</v>
      </c>
      <c r="B436" s="6" t="s">
        <v>2094</v>
      </c>
      <c r="C436" s="6" t="s">
        <v>1706</v>
      </c>
      <c r="D436" s="6" t="s">
        <v>2082</v>
      </c>
      <c r="E436" s="6" t="s">
        <v>2075</v>
      </c>
      <c r="F436" s="6" t="s">
        <v>2076</v>
      </c>
      <c r="G436" s="6" t="s">
        <v>2077</v>
      </c>
      <c r="H436" s="7" t="n">
        <v>170</v>
      </c>
      <c r="I436" s="8" t="n">
        <v>1</v>
      </c>
      <c r="J436" s="9" t="n">
        <v>221.98</v>
      </c>
      <c r="K436" s="8" t="s">
        <v>35</v>
      </c>
      <c r="L436" s="10" t="s">
        <v>98</v>
      </c>
      <c r="M436" s="10" t="s">
        <v>409</v>
      </c>
      <c r="N436" s="10" t="s">
        <v>2078</v>
      </c>
      <c r="O436" s="8" t="str">
        <f aca="false">IF(M436="prescription","Yes","No")</f>
        <v>Yes</v>
      </c>
      <c r="P436" s="6"/>
      <c r="Q436" s="6" t="s">
        <v>2095</v>
      </c>
    </row>
    <row r="437" customFormat="false" ht="15" hidden="false" customHeight="false" outlineLevel="0" collapsed="false">
      <c r="A437" s="6" t="s">
        <v>2096</v>
      </c>
      <c r="B437" s="6" t="s">
        <v>2097</v>
      </c>
      <c r="C437" s="6" t="s">
        <v>1706</v>
      </c>
      <c r="D437" s="6" t="s">
        <v>2074</v>
      </c>
      <c r="E437" s="6" t="s">
        <v>2075</v>
      </c>
      <c r="F437" s="6" t="s">
        <v>2076</v>
      </c>
      <c r="G437" s="6" t="s">
        <v>2077</v>
      </c>
      <c r="H437" s="7" t="n">
        <v>65</v>
      </c>
      <c r="I437" s="8" t="n">
        <v>1</v>
      </c>
      <c r="J437" s="9" t="n">
        <v>47.17</v>
      </c>
      <c r="K437" s="8" t="s">
        <v>35</v>
      </c>
      <c r="L437" s="10" t="s">
        <v>98</v>
      </c>
      <c r="M437" s="10" t="s">
        <v>409</v>
      </c>
      <c r="N437" s="10" t="s">
        <v>2078</v>
      </c>
      <c r="O437" s="8" t="str">
        <f aca="false">IF(M437="prescription","Yes","No")</f>
        <v>Yes</v>
      </c>
      <c r="P437" s="6"/>
      <c r="Q437" s="6" t="s">
        <v>2098</v>
      </c>
    </row>
    <row r="438" customFormat="false" ht="15" hidden="false" customHeight="false" outlineLevel="0" collapsed="false">
      <c r="A438" s="6" t="s">
        <v>2099</v>
      </c>
      <c r="B438" s="6" t="s">
        <v>2100</v>
      </c>
      <c r="C438" s="6" t="s">
        <v>2101</v>
      </c>
      <c r="D438" s="6" t="s">
        <v>2102</v>
      </c>
      <c r="E438" s="6" t="s">
        <v>48</v>
      </c>
      <c r="F438" s="6" t="s">
        <v>1357</v>
      </c>
      <c r="G438" s="6" t="s">
        <v>1358</v>
      </c>
      <c r="H438" s="7" t="n">
        <v>26</v>
      </c>
      <c r="I438" s="8" t="n">
        <v>1</v>
      </c>
      <c r="J438" s="9" t="n">
        <v>25.76</v>
      </c>
      <c r="K438" s="8" t="s">
        <v>35</v>
      </c>
      <c r="L438" s="10" t="s">
        <v>2103</v>
      </c>
      <c r="M438" s="10" t="s">
        <v>2104</v>
      </c>
      <c r="N438" s="10" t="s">
        <v>2105</v>
      </c>
      <c r="O438" s="8" t="str">
        <f aca="false">IF(M438="prescription","Yes","No")</f>
        <v>No</v>
      </c>
      <c r="P438" s="6"/>
      <c r="Q438" s="6" t="s">
        <v>2106</v>
      </c>
    </row>
    <row r="439" customFormat="false" ht="15" hidden="false" customHeight="false" outlineLevel="0" collapsed="false">
      <c r="A439" s="6" t="s">
        <v>2107</v>
      </c>
      <c r="B439" s="6" t="s">
        <v>2108</v>
      </c>
      <c r="C439" s="6" t="s">
        <v>2109</v>
      </c>
      <c r="D439" s="6" t="s">
        <v>2110</v>
      </c>
      <c r="E439" s="6" t="s">
        <v>48</v>
      </c>
      <c r="F439" s="6" t="s">
        <v>1357</v>
      </c>
      <c r="G439" s="6" t="s">
        <v>2111</v>
      </c>
      <c r="H439" s="7" t="n">
        <v>269</v>
      </c>
      <c r="I439" s="8" t="n">
        <v>1</v>
      </c>
      <c r="J439" s="9" t="n">
        <v>17.14</v>
      </c>
      <c r="K439" s="8" t="s">
        <v>35</v>
      </c>
      <c r="L439" s="10" t="s">
        <v>2103</v>
      </c>
      <c r="M439" s="10" t="s">
        <v>2104</v>
      </c>
      <c r="N439" s="10" t="s">
        <v>2105</v>
      </c>
      <c r="O439" s="8" t="str">
        <f aca="false">IF(M439="prescription","Yes","No")</f>
        <v>No</v>
      </c>
      <c r="P439" s="6"/>
      <c r="Q439" s="6" t="s">
        <v>2112</v>
      </c>
    </row>
    <row r="440" customFormat="false" ht="15" hidden="false" customHeight="false" outlineLevel="0" collapsed="false">
      <c r="A440" s="6" t="s">
        <v>2113</v>
      </c>
      <c r="B440" s="6" t="s">
        <v>2114</v>
      </c>
      <c r="C440" s="6" t="s">
        <v>2115</v>
      </c>
      <c r="D440" s="6" t="s">
        <v>2114</v>
      </c>
      <c r="E440" s="6" t="s">
        <v>48</v>
      </c>
      <c r="F440" s="6" t="s">
        <v>1357</v>
      </c>
      <c r="G440" s="6" t="s">
        <v>2116</v>
      </c>
      <c r="H440" s="7" t="n">
        <v>18</v>
      </c>
      <c r="I440" s="8" t="n">
        <v>1</v>
      </c>
      <c r="J440" s="9" t="n">
        <v>4</v>
      </c>
      <c r="K440" s="8" t="s">
        <v>35</v>
      </c>
      <c r="L440" s="10" t="s">
        <v>2103</v>
      </c>
      <c r="M440" s="10" t="s">
        <v>2104</v>
      </c>
      <c r="N440" s="10" t="s">
        <v>2117</v>
      </c>
      <c r="O440" s="8" t="str">
        <f aca="false">IF(M440="prescription","Yes","No")</f>
        <v>No</v>
      </c>
      <c r="P440" s="6"/>
      <c r="Q440" s="6" t="s">
        <v>2118</v>
      </c>
    </row>
    <row r="441" customFormat="false" ht="15" hidden="false" customHeight="false" outlineLevel="0" collapsed="false">
      <c r="A441" s="6" t="s">
        <v>2119</v>
      </c>
      <c r="B441" s="6" t="s">
        <v>2120</v>
      </c>
      <c r="C441" s="6" t="s">
        <v>2121</v>
      </c>
      <c r="D441" s="6" t="s">
        <v>2122</v>
      </c>
      <c r="E441" s="6" t="s">
        <v>48</v>
      </c>
      <c r="F441" s="6" t="s">
        <v>1357</v>
      </c>
      <c r="G441" s="6" t="s">
        <v>2116</v>
      </c>
      <c r="H441" s="7" t="n">
        <v>30</v>
      </c>
      <c r="I441" s="8" t="n">
        <v>1</v>
      </c>
      <c r="J441" s="9" t="n">
        <v>70.12</v>
      </c>
      <c r="K441" s="8" t="s">
        <v>35</v>
      </c>
      <c r="L441" s="10" t="s">
        <v>2103</v>
      </c>
      <c r="M441" s="10" t="s">
        <v>2104</v>
      </c>
      <c r="N441" s="10" t="s">
        <v>2117</v>
      </c>
      <c r="O441" s="8" t="str">
        <f aca="false">IF(M441="prescription","Yes","No")</f>
        <v>No</v>
      </c>
      <c r="P441" s="6"/>
      <c r="Q441" s="6" t="s">
        <v>2123</v>
      </c>
    </row>
    <row r="442" customFormat="false" ht="15" hidden="false" customHeight="false" outlineLevel="0" collapsed="false">
      <c r="A442" s="6" t="s">
        <v>2124</v>
      </c>
      <c r="B442" s="6" t="s">
        <v>2125</v>
      </c>
      <c r="C442" s="6" t="s">
        <v>2115</v>
      </c>
      <c r="D442" s="6" t="s">
        <v>2126</v>
      </c>
      <c r="E442" s="6" t="s">
        <v>48</v>
      </c>
      <c r="F442" s="6" t="s">
        <v>1357</v>
      </c>
      <c r="G442" s="6" t="s">
        <v>2116</v>
      </c>
      <c r="H442" s="7" t="n">
        <v>35</v>
      </c>
      <c r="I442" s="8" t="n">
        <v>1</v>
      </c>
      <c r="J442" s="9" t="n">
        <v>15.91</v>
      </c>
      <c r="K442" s="8" t="s">
        <v>35</v>
      </c>
      <c r="L442" s="10" t="s">
        <v>2103</v>
      </c>
      <c r="M442" s="10" t="s">
        <v>2104</v>
      </c>
      <c r="N442" s="10" t="s">
        <v>2117</v>
      </c>
      <c r="O442" s="8" t="str">
        <f aca="false">IF(M442="prescription","Yes","No")</f>
        <v>No</v>
      </c>
      <c r="P442" s="6"/>
      <c r="Q442" s="6" t="s">
        <v>2127</v>
      </c>
    </row>
    <row r="443" customFormat="false" ht="15" hidden="false" customHeight="false" outlineLevel="0" collapsed="false">
      <c r="A443" s="6" t="s">
        <v>2128</v>
      </c>
      <c r="B443" s="6" t="s">
        <v>2129</v>
      </c>
      <c r="C443" s="6" t="s">
        <v>2115</v>
      </c>
      <c r="D443" s="6" t="s">
        <v>2130</v>
      </c>
      <c r="E443" s="6" t="s">
        <v>48</v>
      </c>
      <c r="F443" s="6" t="s">
        <v>1357</v>
      </c>
      <c r="G443" s="6" t="s">
        <v>2116</v>
      </c>
      <c r="H443" s="7" t="n">
        <v>9</v>
      </c>
      <c r="I443" s="8" t="n">
        <v>1</v>
      </c>
      <c r="J443" s="9"/>
      <c r="K443" s="8" t="s">
        <v>35</v>
      </c>
      <c r="L443" s="10" t="s">
        <v>2103</v>
      </c>
      <c r="M443" s="10" t="s">
        <v>2104</v>
      </c>
      <c r="N443" s="10" t="s">
        <v>2117</v>
      </c>
      <c r="O443" s="8" t="str">
        <f aca="false">IF(M443="prescription","Yes","No")</f>
        <v>No</v>
      </c>
      <c r="P443" s="6" t="s">
        <v>2131</v>
      </c>
      <c r="Q443" s="6" t="s">
        <v>2132</v>
      </c>
    </row>
    <row r="444" customFormat="false" ht="15" hidden="false" customHeight="false" outlineLevel="0" collapsed="false">
      <c r="A444" s="6" t="s">
        <v>2133</v>
      </c>
      <c r="B444" s="6" t="s">
        <v>2134</v>
      </c>
      <c r="C444" s="6" t="s">
        <v>2135</v>
      </c>
      <c r="D444" s="6" t="s">
        <v>2136</v>
      </c>
      <c r="E444" s="6"/>
      <c r="F444" s="6" t="s">
        <v>2137</v>
      </c>
      <c r="G444" s="6" t="s">
        <v>2138</v>
      </c>
      <c r="H444" s="7" t="n">
        <v>40350</v>
      </c>
      <c r="I444" s="8" t="n">
        <v>50</v>
      </c>
      <c r="J444" s="9" t="n">
        <v>141.97</v>
      </c>
      <c r="K444" s="8" t="s">
        <v>35</v>
      </c>
      <c r="L444" s="10" t="s">
        <v>2103</v>
      </c>
      <c r="M444" s="10" t="s">
        <v>2104</v>
      </c>
      <c r="N444" s="10" t="s">
        <v>2139</v>
      </c>
      <c r="O444" s="8" t="str">
        <f aca="false">IF(M444="prescription","Yes","No")</f>
        <v>No</v>
      </c>
      <c r="P444" s="6"/>
      <c r="Q444" s="6" t="s">
        <v>2140</v>
      </c>
    </row>
    <row r="445" customFormat="false" ht="15" hidden="false" customHeight="false" outlineLevel="0" collapsed="false">
      <c r="A445" s="6" t="s">
        <v>2141</v>
      </c>
      <c r="B445" s="6" t="s">
        <v>2142</v>
      </c>
      <c r="C445" s="6" t="s">
        <v>2115</v>
      </c>
      <c r="D445" s="6" t="s">
        <v>2143</v>
      </c>
      <c r="E445" s="6" t="s">
        <v>48</v>
      </c>
      <c r="F445" s="6" t="s">
        <v>1357</v>
      </c>
      <c r="G445" s="6" t="s">
        <v>2144</v>
      </c>
      <c r="H445" s="7" t="n">
        <v>218</v>
      </c>
      <c r="I445" s="8" t="n">
        <v>50</v>
      </c>
      <c r="J445" s="9" t="n">
        <v>49.1</v>
      </c>
      <c r="K445" s="8" t="s">
        <v>35</v>
      </c>
      <c r="L445" s="10" t="s">
        <v>2103</v>
      </c>
      <c r="M445" s="10" t="s">
        <v>2104</v>
      </c>
      <c r="N445" s="10" t="s">
        <v>2139</v>
      </c>
      <c r="O445" s="8" t="str">
        <f aca="false">IF(M445="prescription","Yes","No")</f>
        <v>No</v>
      </c>
      <c r="P445" s="6"/>
      <c r="Q445" s="6" t="s">
        <v>2145</v>
      </c>
    </row>
    <row r="446" customFormat="false" ht="15" hidden="false" customHeight="false" outlineLevel="0" collapsed="false">
      <c r="A446" s="6" t="s">
        <v>2146</v>
      </c>
      <c r="B446" s="6" t="s">
        <v>2147</v>
      </c>
      <c r="C446" s="6" t="s">
        <v>2115</v>
      </c>
      <c r="D446" s="6" t="s">
        <v>2147</v>
      </c>
      <c r="E446" s="6" t="s">
        <v>48</v>
      </c>
      <c r="F446" s="6" t="s">
        <v>1357</v>
      </c>
      <c r="G446" s="6" t="s">
        <v>2144</v>
      </c>
      <c r="H446" s="7" t="n">
        <v>18</v>
      </c>
      <c r="I446" s="8" t="n">
        <v>1</v>
      </c>
      <c r="J446" s="9" t="n">
        <v>9.97</v>
      </c>
      <c r="K446" s="8" t="s">
        <v>35</v>
      </c>
      <c r="L446" s="10" t="s">
        <v>2103</v>
      </c>
      <c r="M446" s="10" t="s">
        <v>2104</v>
      </c>
      <c r="N446" s="10" t="s">
        <v>2139</v>
      </c>
      <c r="O446" s="8" t="str">
        <f aca="false">IF(M446="prescription","Yes","No")</f>
        <v>No</v>
      </c>
      <c r="P446" s="6"/>
      <c r="Q446" s="6" t="s">
        <v>2148</v>
      </c>
    </row>
    <row r="447" customFormat="false" ht="15" hidden="false" customHeight="false" outlineLevel="0" collapsed="false">
      <c r="A447" s="6" t="s">
        <v>2149</v>
      </c>
      <c r="B447" s="6" t="s">
        <v>2150</v>
      </c>
      <c r="C447" s="6" t="s">
        <v>2115</v>
      </c>
      <c r="D447" s="6" t="s">
        <v>2151</v>
      </c>
      <c r="E447" s="6" t="s">
        <v>48</v>
      </c>
      <c r="F447" s="6" t="s">
        <v>1357</v>
      </c>
      <c r="G447" s="6" t="s">
        <v>2152</v>
      </c>
      <c r="H447" s="7" t="n">
        <v>28429</v>
      </c>
      <c r="I447" s="8" t="n">
        <v>100</v>
      </c>
      <c r="J447" s="9" t="n">
        <v>161.51</v>
      </c>
      <c r="K447" s="8" t="s">
        <v>35</v>
      </c>
      <c r="L447" s="10" t="s">
        <v>2103</v>
      </c>
      <c r="M447" s="10" t="s">
        <v>2104</v>
      </c>
      <c r="N447" s="10" t="s">
        <v>2153</v>
      </c>
      <c r="O447" s="8" t="str">
        <f aca="false">IF(M447="prescription","Yes","No")</f>
        <v>No</v>
      </c>
      <c r="P447" s="6"/>
      <c r="Q447" s="6" t="s">
        <v>2154</v>
      </c>
    </row>
    <row r="448" customFormat="false" ht="15" hidden="false" customHeight="false" outlineLevel="0" collapsed="false">
      <c r="A448" s="6" t="s">
        <v>2155</v>
      </c>
      <c r="B448" s="6" t="s">
        <v>2156</v>
      </c>
      <c r="C448" s="6" t="s">
        <v>2157</v>
      </c>
      <c r="D448" s="6" t="s">
        <v>2158</v>
      </c>
      <c r="E448" s="6" t="s">
        <v>48</v>
      </c>
      <c r="F448" s="6" t="s">
        <v>2137</v>
      </c>
      <c r="G448" s="6" t="s">
        <v>2159</v>
      </c>
      <c r="H448" s="7" t="n">
        <v>2</v>
      </c>
      <c r="I448" s="8" t="n">
        <v>1</v>
      </c>
      <c r="J448" s="9" t="n">
        <v>705.04</v>
      </c>
      <c r="K448" s="8" t="s">
        <v>35</v>
      </c>
      <c r="L448" s="10" t="s">
        <v>2103</v>
      </c>
      <c r="M448" s="10" t="s">
        <v>2104</v>
      </c>
      <c r="N448" s="10" t="s">
        <v>2153</v>
      </c>
      <c r="O448" s="8" t="str">
        <f aca="false">IF(M448="prescription","Yes","No")</f>
        <v>No</v>
      </c>
      <c r="P448" s="6"/>
      <c r="Q448" s="6" t="s">
        <v>2160</v>
      </c>
    </row>
    <row r="449" customFormat="false" ht="15" hidden="false" customHeight="false" outlineLevel="0" collapsed="false">
      <c r="A449" s="6" t="s">
        <v>2161</v>
      </c>
      <c r="B449" s="6" t="s">
        <v>2162</v>
      </c>
      <c r="C449" s="6"/>
      <c r="D449" s="6" t="s">
        <v>2163</v>
      </c>
      <c r="E449" s="6" t="s">
        <v>48</v>
      </c>
      <c r="F449" s="6" t="s">
        <v>1357</v>
      </c>
      <c r="G449" s="6" t="s">
        <v>2164</v>
      </c>
      <c r="H449" s="7" t="n">
        <v>57</v>
      </c>
      <c r="I449" s="8" t="n">
        <v>1</v>
      </c>
      <c r="J449" s="9" t="n">
        <v>68.23</v>
      </c>
      <c r="K449" s="8" t="s">
        <v>35</v>
      </c>
      <c r="L449" s="10" t="s">
        <v>2103</v>
      </c>
      <c r="M449" s="10" t="s">
        <v>2104</v>
      </c>
      <c r="N449" s="10" t="s">
        <v>2165</v>
      </c>
      <c r="O449" s="8" t="str">
        <f aca="false">IF(M449="prescription","Yes","No")</f>
        <v>No</v>
      </c>
      <c r="P449" s="6"/>
      <c r="Q449" s="6" t="s">
        <v>2166</v>
      </c>
    </row>
    <row r="450" customFormat="false" ht="15" hidden="false" customHeight="false" outlineLevel="0" collapsed="false">
      <c r="A450" s="6" t="s">
        <v>2167</v>
      </c>
      <c r="B450" s="6" t="s">
        <v>2168</v>
      </c>
      <c r="C450" s="6" t="s">
        <v>2115</v>
      </c>
      <c r="D450" s="6" t="s">
        <v>2169</v>
      </c>
      <c r="E450" s="6" t="s">
        <v>48</v>
      </c>
      <c r="F450" s="6" t="s">
        <v>1357</v>
      </c>
      <c r="G450" s="6" t="s">
        <v>2164</v>
      </c>
      <c r="H450" s="7" t="n">
        <v>257</v>
      </c>
      <c r="I450" s="8" t="n">
        <v>1</v>
      </c>
      <c r="J450" s="9" t="n">
        <v>11.95</v>
      </c>
      <c r="K450" s="8" t="s">
        <v>35</v>
      </c>
      <c r="L450" s="10" t="s">
        <v>2103</v>
      </c>
      <c r="M450" s="10" t="s">
        <v>2104</v>
      </c>
      <c r="N450" s="10" t="s">
        <v>2165</v>
      </c>
      <c r="O450" s="8" t="str">
        <f aca="false">IF(M450="prescription","Yes","No")</f>
        <v>No</v>
      </c>
      <c r="P450" s="6"/>
      <c r="Q450" s="6" t="s">
        <v>2170</v>
      </c>
    </row>
    <row r="451" customFormat="false" ht="15" hidden="false" customHeight="false" outlineLevel="0" collapsed="false">
      <c r="A451" s="6" t="s">
        <v>2171</v>
      </c>
      <c r="B451" s="6" t="s">
        <v>2172</v>
      </c>
      <c r="C451" s="6" t="s">
        <v>2115</v>
      </c>
      <c r="D451" s="6" t="s">
        <v>2169</v>
      </c>
      <c r="E451" s="6" t="s">
        <v>48</v>
      </c>
      <c r="F451" s="6" t="s">
        <v>1357</v>
      </c>
      <c r="G451" s="6" t="s">
        <v>2164</v>
      </c>
      <c r="H451" s="7" t="n">
        <v>0</v>
      </c>
      <c r="I451" s="8" t="n">
        <v>1</v>
      </c>
      <c r="J451" s="9" t="n">
        <v>19.86</v>
      </c>
      <c r="K451" s="8" t="s">
        <v>87</v>
      </c>
      <c r="L451" s="10" t="s">
        <v>2103</v>
      </c>
      <c r="M451" s="10" t="s">
        <v>2104</v>
      </c>
      <c r="N451" s="10" t="s">
        <v>2165</v>
      </c>
      <c r="O451" s="8" t="str">
        <f aca="false">IF(M451="prescription","Yes","No")</f>
        <v>No</v>
      </c>
      <c r="P451" s="6" t="s">
        <v>89</v>
      </c>
      <c r="Q451" s="6" t="s">
        <v>2173</v>
      </c>
    </row>
    <row r="452" customFormat="false" ht="15" hidden="false" customHeight="false" outlineLevel="0" collapsed="false">
      <c r="A452" s="6" t="s">
        <v>2174</v>
      </c>
      <c r="B452" s="6" t="s">
        <v>2175</v>
      </c>
      <c r="C452" s="6" t="s">
        <v>2176</v>
      </c>
      <c r="D452" s="6" t="s">
        <v>2177</v>
      </c>
      <c r="E452" s="6" t="s">
        <v>2178</v>
      </c>
      <c r="F452" s="6" t="s">
        <v>2179</v>
      </c>
      <c r="G452" s="6" t="s">
        <v>2180</v>
      </c>
      <c r="H452" s="7" t="n">
        <v>1</v>
      </c>
      <c r="I452" s="8" t="n">
        <v>1</v>
      </c>
      <c r="J452" s="9" t="n">
        <v>439.86</v>
      </c>
      <c r="K452" s="8" t="s">
        <v>35</v>
      </c>
      <c r="L452" s="10" t="s">
        <v>2103</v>
      </c>
      <c r="M452" s="10" t="s">
        <v>2181</v>
      </c>
      <c r="N452" s="10" t="s">
        <v>2182</v>
      </c>
      <c r="O452" s="8" t="str">
        <f aca="false">IF(M452="prescription","Yes","No")</f>
        <v>No</v>
      </c>
      <c r="P452" s="6"/>
      <c r="Q452" s="6" t="s">
        <v>2183</v>
      </c>
    </row>
    <row r="453" customFormat="false" ht="15" hidden="false" customHeight="false" outlineLevel="0" collapsed="false">
      <c r="A453" s="6" t="s">
        <v>2184</v>
      </c>
      <c r="B453" s="6" t="s">
        <v>2185</v>
      </c>
      <c r="C453" s="6" t="s">
        <v>2186</v>
      </c>
      <c r="D453" s="6" t="s">
        <v>2187</v>
      </c>
      <c r="E453" s="6" t="s">
        <v>2178</v>
      </c>
      <c r="F453" s="6" t="s">
        <v>2179</v>
      </c>
      <c r="G453" s="6" t="s">
        <v>2180</v>
      </c>
      <c r="H453" s="7" t="n">
        <v>3</v>
      </c>
      <c r="I453" s="8" t="n">
        <v>1</v>
      </c>
      <c r="J453" s="9" t="n">
        <v>163.5</v>
      </c>
      <c r="K453" s="8" t="s">
        <v>35</v>
      </c>
      <c r="L453" s="10" t="s">
        <v>2103</v>
      </c>
      <c r="M453" s="10" t="s">
        <v>2181</v>
      </c>
      <c r="N453" s="10" t="s">
        <v>2182</v>
      </c>
      <c r="O453" s="8" t="str">
        <f aca="false">IF(M453="prescription","Yes","No")</f>
        <v>No</v>
      </c>
      <c r="P453" s="6"/>
      <c r="Q453" s="6" t="s">
        <v>2188</v>
      </c>
    </row>
    <row r="454" customFormat="false" ht="15" hidden="false" customHeight="false" outlineLevel="0" collapsed="false">
      <c r="A454" s="6" t="s">
        <v>2189</v>
      </c>
      <c r="B454" s="6" t="s">
        <v>2190</v>
      </c>
      <c r="C454" s="6" t="s">
        <v>2191</v>
      </c>
      <c r="D454" s="6" t="s">
        <v>2187</v>
      </c>
      <c r="E454" s="6"/>
      <c r="F454" s="6" t="s">
        <v>2179</v>
      </c>
      <c r="G454" s="6" t="s">
        <v>2180</v>
      </c>
      <c r="H454" s="7" t="n">
        <v>0</v>
      </c>
      <c r="I454" s="8" t="n">
        <v>1</v>
      </c>
      <c r="J454" s="9" t="n">
        <v>203.11</v>
      </c>
      <c r="K454" s="8" t="s">
        <v>87</v>
      </c>
      <c r="L454" s="10" t="s">
        <v>2103</v>
      </c>
      <c r="M454" s="10" t="s">
        <v>2181</v>
      </c>
      <c r="N454" s="10" t="s">
        <v>2182</v>
      </c>
      <c r="O454" s="8" t="str">
        <f aca="false">IF(M454="prescription","Yes","No")</f>
        <v>No</v>
      </c>
      <c r="P454" s="6" t="s">
        <v>89</v>
      </c>
      <c r="Q454" s="6" t="s">
        <v>2192</v>
      </c>
    </row>
    <row r="455" customFormat="false" ht="15" hidden="false" customHeight="false" outlineLevel="0" collapsed="false">
      <c r="A455" s="6" t="s">
        <v>2193</v>
      </c>
      <c r="B455" s="6" t="s">
        <v>2194</v>
      </c>
      <c r="C455" s="6" t="s">
        <v>2191</v>
      </c>
      <c r="D455" s="6" t="s">
        <v>2187</v>
      </c>
      <c r="E455" s="6"/>
      <c r="F455" s="6" t="s">
        <v>2179</v>
      </c>
      <c r="G455" s="6" t="s">
        <v>2180</v>
      </c>
      <c r="H455" s="7" t="n">
        <v>0</v>
      </c>
      <c r="I455" s="8" t="n">
        <v>1</v>
      </c>
      <c r="J455" s="9" t="n">
        <v>203.11</v>
      </c>
      <c r="K455" s="8" t="s">
        <v>87</v>
      </c>
      <c r="L455" s="10" t="s">
        <v>2103</v>
      </c>
      <c r="M455" s="10" t="s">
        <v>2181</v>
      </c>
      <c r="N455" s="10" t="s">
        <v>2182</v>
      </c>
      <c r="O455" s="8" t="str">
        <f aca="false">IF(M455="prescription","Yes","No")</f>
        <v>No</v>
      </c>
      <c r="P455" s="6" t="s">
        <v>89</v>
      </c>
      <c r="Q455" s="6" t="s">
        <v>2195</v>
      </c>
    </row>
    <row r="456" customFormat="false" ht="15" hidden="false" customHeight="false" outlineLevel="0" collapsed="false">
      <c r="A456" s="6" t="s">
        <v>2196</v>
      </c>
      <c r="B456" s="6" t="s">
        <v>2197</v>
      </c>
      <c r="C456" s="6" t="s">
        <v>2191</v>
      </c>
      <c r="D456" s="6" t="s">
        <v>2187</v>
      </c>
      <c r="E456" s="6"/>
      <c r="F456" s="6" t="s">
        <v>2179</v>
      </c>
      <c r="G456" s="6" t="s">
        <v>2180</v>
      </c>
      <c r="H456" s="7" t="n">
        <v>4</v>
      </c>
      <c r="I456" s="8" t="n">
        <v>1</v>
      </c>
      <c r="J456" s="9" t="n">
        <v>203.11</v>
      </c>
      <c r="K456" s="8" t="s">
        <v>35</v>
      </c>
      <c r="L456" s="10" t="s">
        <v>2103</v>
      </c>
      <c r="M456" s="10" t="s">
        <v>2181</v>
      </c>
      <c r="N456" s="10" t="s">
        <v>2182</v>
      </c>
      <c r="O456" s="8" t="str">
        <f aca="false">IF(M456="prescription","Yes","No")</f>
        <v>No</v>
      </c>
      <c r="P456" s="6"/>
      <c r="Q456" s="6" t="s">
        <v>2198</v>
      </c>
    </row>
    <row r="457" customFormat="false" ht="15" hidden="false" customHeight="false" outlineLevel="0" collapsed="false">
      <c r="A457" s="6" t="s">
        <v>2199</v>
      </c>
      <c r="B457" s="6" t="s">
        <v>2200</v>
      </c>
      <c r="C457" s="6" t="s">
        <v>2191</v>
      </c>
      <c r="D457" s="6" t="s">
        <v>2187</v>
      </c>
      <c r="E457" s="6"/>
      <c r="F457" s="6" t="s">
        <v>2179</v>
      </c>
      <c r="G457" s="6" t="s">
        <v>2180</v>
      </c>
      <c r="H457" s="7" t="n">
        <v>1</v>
      </c>
      <c r="I457" s="8" t="n">
        <v>1</v>
      </c>
      <c r="J457" s="9" t="n">
        <v>203.11</v>
      </c>
      <c r="K457" s="8" t="s">
        <v>35</v>
      </c>
      <c r="L457" s="10" t="s">
        <v>2103</v>
      </c>
      <c r="M457" s="10" t="s">
        <v>2181</v>
      </c>
      <c r="N457" s="10" t="s">
        <v>2182</v>
      </c>
      <c r="O457" s="8" t="str">
        <f aca="false">IF(M457="prescription","Yes","No")</f>
        <v>No</v>
      </c>
      <c r="P457" s="6"/>
      <c r="Q457" s="6" t="s">
        <v>2201</v>
      </c>
    </row>
    <row r="458" customFormat="false" ht="15" hidden="false" customHeight="false" outlineLevel="0" collapsed="false">
      <c r="A458" s="6" t="s">
        <v>2202</v>
      </c>
      <c r="B458" s="6" t="s">
        <v>2203</v>
      </c>
      <c r="C458" s="6" t="s">
        <v>2176</v>
      </c>
      <c r="D458" s="6" t="s">
        <v>2187</v>
      </c>
      <c r="E458" s="6"/>
      <c r="F458" s="6" t="s">
        <v>2179</v>
      </c>
      <c r="G458" s="6" t="s">
        <v>2180</v>
      </c>
      <c r="H458" s="7" t="n">
        <v>10</v>
      </c>
      <c r="I458" s="8" t="n">
        <v>1</v>
      </c>
      <c r="J458" s="9" t="n">
        <v>233.4</v>
      </c>
      <c r="K458" s="8" t="s">
        <v>35</v>
      </c>
      <c r="L458" s="10" t="s">
        <v>2103</v>
      </c>
      <c r="M458" s="10" t="s">
        <v>2181</v>
      </c>
      <c r="N458" s="10" t="s">
        <v>2182</v>
      </c>
      <c r="O458" s="8" t="str">
        <f aca="false">IF(M458="prescription","Yes","No")</f>
        <v>No</v>
      </c>
      <c r="P458" s="6"/>
      <c r="Q458" s="6" t="s">
        <v>2204</v>
      </c>
    </row>
    <row r="459" customFormat="false" ht="15" hidden="false" customHeight="false" outlineLevel="0" collapsed="false">
      <c r="A459" s="6" t="s">
        <v>2205</v>
      </c>
      <c r="B459" s="6" t="s">
        <v>2206</v>
      </c>
      <c r="C459" s="6" t="s">
        <v>2176</v>
      </c>
      <c r="D459" s="6" t="s">
        <v>2187</v>
      </c>
      <c r="E459" s="6"/>
      <c r="F459" s="6" t="s">
        <v>2179</v>
      </c>
      <c r="G459" s="6" t="s">
        <v>2180</v>
      </c>
      <c r="H459" s="7" t="n">
        <v>6</v>
      </c>
      <c r="I459" s="8" t="n">
        <v>1</v>
      </c>
      <c r="J459" s="9" t="n">
        <v>233.4</v>
      </c>
      <c r="K459" s="8" t="s">
        <v>35</v>
      </c>
      <c r="L459" s="10" t="s">
        <v>2103</v>
      </c>
      <c r="M459" s="10" t="s">
        <v>2181</v>
      </c>
      <c r="N459" s="10" t="s">
        <v>2182</v>
      </c>
      <c r="O459" s="8" t="str">
        <f aca="false">IF(M459="prescription","Yes","No")</f>
        <v>No</v>
      </c>
      <c r="P459" s="6"/>
      <c r="Q459" s="6" t="s">
        <v>2207</v>
      </c>
    </row>
    <row r="460" customFormat="false" ht="15" hidden="false" customHeight="false" outlineLevel="0" collapsed="false">
      <c r="A460" s="6" t="s">
        <v>2208</v>
      </c>
      <c r="B460" s="6" t="s">
        <v>2209</v>
      </c>
      <c r="C460" s="6" t="s">
        <v>2115</v>
      </c>
      <c r="D460" s="6" t="s">
        <v>2210</v>
      </c>
      <c r="E460" s="6" t="s">
        <v>2178</v>
      </c>
      <c r="F460" s="6" t="s">
        <v>2179</v>
      </c>
      <c r="G460" s="6" t="s">
        <v>2180</v>
      </c>
      <c r="H460" s="7" t="n">
        <v>31</v>
      </c>
      <c r="I460" s="8" t="n">
        <v>1</v>
      </c>
      <c r="J460" s="9" t="n">
        <v>448.92</v>
      </c>
      <c r="K460" s="8" t="s">
        <v>35</v>
      </c>
      <c r="L460" s="10" t="s">
        <v>2103</v>
      </c>
      <c r="M460" s="10" t="s">
        <v>2181</v>
      </c>
      <c r="N460" s="10" t="s">
        <v>2182</v>
      </c>
      <c r="O460" s="8" t="str">
        <f aca="false">IF(M460="prescription","Yes","No")</f>
        <v>No</v>
      </c>
      <c r="P460" s="6"/>
      <c r="Q460" s="6" t="s">
        <v>2211</v>
      </c>
    </row>
    <row r="461" customFormat="false" ht="15" hidden="false" customHeight="false" outlineLevel="0" collapsed="false">
      <c r="A461" s="6" t="s">
        <v>2212</v>
      </c>
      <c r="B461" s="6" t="s">
        <v>2213</v>
      </c>
      <c r="C461" s="6" t="s">
        <v>2191</v>
      </c>
      <c r="D461" s="6" t="s">
        <v>2214</v>
      </c>
      <c r="E461" s="6" t="s">
        <v>2178</v>
      </c>
      <c r="F461" s="6" t="s">
        <v>2179</v>
      </c>
      <c r="G461" s="6" t="s">
        <v>2180</v>
      </c>
      <c r="H461" s="7" t="n">
        <v>8</v>
      </c>
      <c r="I461" s="8" t="n">
        <v>1</v>
      </c>
      <c r="J461" s="9" t="n">
        <v>190.26</v>
      </c>
      <c r="K461" s="8" t="s">
        <v>35</v>
      </c>
      <c r="L461" s="10" t="s">
        <v>2103</v>
      </c>
      <c r="M461" s="10" t="s">
        <v>2181</v>
      </c>
      <c r="N461" s="10" t="s">
        <v>2182</v>
      </c>
      <c r="O461" s="8" t="str">
        <f aca="false">IF(M461="prescription","Yes","No")</f>
        <v>No</v>
      </c>
      <c r="P461" s="6"/>
      <c r="Q461" s="6" t="s">
        <v>2215</v>
      </c>
    </row>
    <row r="462" customFormat="false" ht="15" hidden="false" customHeight="false" outlineLevel="0" collapsed="false">
      <c r="A462" s="6" t="s">
        <v>2216</v>
      </c>
      <c r="B462" s="6" t="s">
        <v>2217</v>
      </c>
      <c r="C462" s="6" t="s">
        <v>2191</v>
      </c>
      <c r="D462" s="6" t="s">
        <v>2218</v>
      </c>
      <c r="E462" s="6"/>
      <c r="F462" s="6" t="s">
        <v>2179</v>
      </c>
      <c r="G462" s="6" t="s">
        <v>2180</v>
      </c>
      <c r="H462" s="7" t="n">
        <v>5</v>
      </c>
      <c r="I462" s="8" t="n">
        <v>1</v>
      </c>
      <c r="J462" s="9" t="n">
        <v>168.54</v>
      </c>
      <c r="K462" s="8" t="s">
        <v>35</v>
      </c>
      <c r="L462" s="10" t="s">
        <v>2103</v>
      </c>
      <c r="M462" s="10" t="s">
        <v>2181</v>
      </c>
      <c r="N462" s="10" t="s">
        <v>2182</v>
      </c>
      <c r="O462" s="8" t="str">
        <f aca="false">IF(M462="prescription","Yes","No")</f>
        <v>No</v>
      </c>
      <c r="P462" s="6"/>
      <c r="Q462" s="6" t="s">
        <v>2219</v>
      </c>
    </row>
    <row r="463" customFormat="false" ht="15" hidden="false" customHeight="false" outlineLevel="0" collapsed="false">
      <c r="A463" s="6" t="s">
        <v>2220</v>
      </c>
      <c r="B463" s="6" t="s">
        <v>2221</v>
      </c>
      <c r="C463" s="6" t="s">
        <v>2191</v>
      </c>
      <c r="D463" s="6" t="s">
        <v>2218</v>
      </c>
      <c r="E463" s="6"/>
      <c r="F463" s="6" t="s">
        <v>2179</v>
      </c>
      <c r="G463" s="6" t="s">
        <v>2180</v>
      </c>
      <c r="H463" s="7" t="n">
        <v>15</v>
      </c>
      <c r="I463" s="8" t="n">
        <v>1</v>
      </c>
      <c r="J463" s="9" t="n">
        <v>220.03</v>
      </c>
      <c r="K463" s="8" t="s">
        <v>35</v>
      </c>
      <c r="L463" s="10" t="s">
        <v>2103</v>
      </c>
      <c r="M463" s="10" t="s">
        <v>2181</v>
      </c>
      <c r="N463" s="10" t="s">
        <v>2182</v>
      </c>
      <c r="O463" s="8" t="str">
        <f aca="false">IF(M463="prescription","Yes","No")</f>
        <v>No</v>
      </c>
      <c r="P463" s="6"/>
      <c r="Q463" s="6" t="s">
        <v>2222</v>
      </c>
    </row>
    <row r="464" customFormat="false" ht="15" hidden="false" customHeight="false" outlineLevel="0" collapsed="false">
      <c r="A464" s="6" t="s">
        <v>2223</v>
      </c>
      <c r="B464" s="6" t="s">
        <v>2224</v>
      </c>
      <c r="C464" s="6" t="s">
        <v>2191</v>
      </c>
      <c r="D464" s="6" t="s">
        <v>2218</v>
      </c>
      <c r="E464" s="6"/>
      <c r="F464" s="6" t="s">
        <v>2179</v>
      </c>
      <c r="G464" s="6" t="s">
        <v>2180</v>
      </c>
      <c r="H464" s="7" t="n">
        <v>1</v>
      </c>
      <c r="I464" s="8" t="n">
        <v>1</v>
      </c>
      <c r="J464" s="9" t="n">
        <v>220.03</v>
      </c>
      <c r="K464" s="8" t="s">
        <v>35</v>
      </c>
      <c r="L464" s="10" t="s">
        <v>2103</v>
      </c>
      <c r="M464" s="10" t="s">
        <v>2181</v>
      </c>
      <c r="N464" s="10" t="s">
        <v>2182</v>
      </c>
      <c r="O464" s="8" t="str">
        <f aca="false">IF(M464="prescription","Yes","No")</f>
        <v>No</v>
      </c>
      <c r="P464" s="6"/>
      <c r="Q464" s="6" t="s">
        <v>2225</v>
      </c>
    </row>
    <row r="465" customFormat="false" ht="15" hidden="false" customHeight="false" outlineLevel="0" collapsed="false">
      <c r="A465" s="6" t="s">
        <v>2226</v>
      </c>
      <c r="B465" s="6" t="s">
        <v>2227</v>
      </c>
      <c r="C465" s="6" t="s">
        <v>2191</v>
      </c>
      <c r="D465" s="6" t="s">
        <v>2218</v>
      </c>
      <c r="E465" s="6"/>
      <c r="F465" s="6" t="s">
        <v>2179</v>
      </c>
      <c r="G465" s="6" t="s">
        <v>2180</v>
      </c>
      <c r="H465" s="7" t="n">
        <v>6</v>
      </c>
      <c r="I465" s="8" t="n">
        <v>1</v>
      </c>
      <c r="J465" s="9" t="n">
        <v>220.03</v>
      </c>
      <c r="K465" s="8" t="s">
        <v>35</v>
      </c>
      <c r="L465" s="10" t="s">
        <v>2103</v>
      </c>
      <c r="M465" s="10" t="s">
        <v>2181</v>
      </c>
      <c r="N465" s="10" t="s">
        <v>2182</v>
      </c>
      <c r="O465" s="8" t="str">
        <f aca="false">IF(M465="prescription","Yes","No")</f>
        <v>No</v>
      </c>
      <c r="P465" s="6"/>
      <c r="Q465" s="6" t="s">
        <v>2228</v>
      </c>
    </row>
    <row r="466" customFormat="false" ht="15" hidden="false" customHeight="false" outlineLevel="0" collapsed="false">
      <c r="A466" s="6" t="s">
        <v>2229</v>
      </c>
      <c r="B466" s="6" t="s">
        <v>2230</v>
      </c>
      <c r="C466" s="6" t="s">
        <v>2191</v>
      </c>
      <c r="D466" s="6" t="s">
        <v>2218</v>
      </c>
      <c r="E466" s="6"/>
      <c r="F466" s="6" t="s">
        <v>2179</v>
      </c>
      <c r="G466" s="6" t="s">
        <v>2180</v>
      </c>
      <c r="H466" s="7" t="n">
        <v>2</v>
      </c>
      <c r="I466" s="8" t="n">
        <v>1</v>
      </c>
      <c r="J466" s="9" t="n">
        <v>220.03</v>
      </c>
      <c r="K466" s="8" t="s">
        <v>35</v>
      </c>
      <c r="L466" s="10" t="s">
        <v>2103</v>
      </c>
      <c r="M466" s="10" t="s">
        <v>2181</v>
      </c>
      <c r="N466" s="10" t="s">
        <v>2182</v>
      </c>
      <c r="O466" s="8" t="str">
        <f aca="false">IF(M466="prescription","Yes","No")</f>
        <v>No</v>
      </c>
      <c r="P466" s="6"/>
      <c r="Q466" s="6" t="s">
        <v>2231</v>
      </c>
    </row>
    <row r="467" customFormat="false" ht="15" hidden="false" customHeight="false" outlineLevel="0" collapsed="false">
      <c r="A467" s="6" t="s">
        <v>2232</v>
      </c>
      <c r="B467" s="6" t="s">
        <v>2233</v>
      </c>
      <c r="C467" s="6" t="s">
        <v>2191</v>
      </c>
      <c r="D467" s="6" t="s">
        <v>2218</v>
      </c>
      <c r="E467" s="6"/>
      <c r="F467" s="6" t="s">
        <v>2179</v>
      </c>
      <c r="G467" s="6" t="s">
        <v>2180</v>
      </c>
      <c r="H467" s="7" t="n">
        <v>12</v>
      </c>
      <c r="I467" s="8" t="n">
        <v>1</v>
      </c>
      <c r="J467" s="9" t="n">
        <v>220.03</v>
      </c>
      <c r="K467" s="8" t="s">
        <v>35</v>
      </c>
      <c r="L467" s="10" t="s">
        <v>2103</v>
      </c>
      <c r="M467" s="10" t="s">
        <v>2181</v>
      </c>
      <c r="N467" s="10" t="s">
        <v>2182</v>
      </c>
      <c r="O467" s="8" t="str">
        <f aca="false">IF(M467="prescription","Yes","No")</f>
        <v>No</v>
      </c>
      <c r="P467" s="6"/>
      <c r="Q467" s="6" t="s">
        <v>2234</v>
      </c>
    </row>
    <row r="468" customFormat="false" ht="15" hidden="false" customHeight="false" outlineLevel="0" collapsed="false">
      <c r="A468" s="6" t="s">
        <v>2235</v>
      </c>
      <c r="B468" s="6" t="s">
        <v>2236</v>
      </c>
      <c r="C468" s="6" t="s">
        <v>2191</v>
      </c>
      <c r="D468" s="6" t="s">
        <v>2218</v>
      </c>
      <c r="E468" s="6"/>
      <c r="F468" s="6" t="s">
        <v>2179</v>
      </c>
      <c r="G468" s="6" t="s">
        <v>2180</v>
      </c>
      <c r="H468" s="7" t="n">
        <v>5</v>
      </c>
      <c r="I468" s="8" t="n">
        <v>1</v>
      </c>
      <c r="J468" s="9" t="n">
        <v>220.03</v>
      </c>
      <c r="K468" s="8" t="s">
        <v>35</v>
      </c>
      <c r="L468" s="10" t="s">
        <v>2103</v>
      </c>
      <c r="M468" s="10" t="s">
        <v>2181</v>
      </c>
      <c r="N468" s="10" t="s">
        <v>2182</v>
      </c>
      <c r="O468" s="8" t="str">
        <f aca="false">IF(M468="prescription","Yes","No")</f>
        <v>No</v>
      </c>
      <c r="P468" s="6"/>
      <c r="Q468" s="6" t="s">
        <v>2237</v>
      </c>
    </row>
    <row r="469" customFormat="false" ht="15" hidden="false" customHeight="false" outlineLevel="0" collapsed="false">
      <c r="A469" s="6" t="s">
        <v>2238</v>
      </c>
      <c r="B469" s="6" t="s">
        <v>2239</v>
      </c>
      <c r="C469" s="6" t="s">
        <v>2191</v>
      </c>
      <c r="D469" s="6" t="s">
        <v>2218</v>
      </c>
      <c r="E469" s="6"/>
      <c r="F469" s="6" t="s">
        <v>2179</v>
      </c>
      <c r="G469" s="6" t="s">
        <v>2180</v>
      </c>
      <c r="H469" s="7" t="n">
        <v>9</v>
      </c>
      <c r="I469" s="8" t="n">
        <v>1</v>
      </c>
      <c r="J469" s="9" t="n">
        <v>220.03</v>
      </c>
      <c r="K469" s="8" t="s">
        <v>35</v>
      </c>
      <c r="L469" s="10" t="s">
        <v>2103</v>
      </c>
      <c r="M469" s="10" t="s">
        <v>2181</v>
      </c>
      <c r="N469" s="10" t="s">
        <v>2182</v>
      </c>
      <c r="O469" s="8" t="str">
        <f aca="false">IF(M469="prescription","Yes","No")</f>
        <v>No</v>
      </c>
      <c r="P469" s="6"/>
      <c r="Q469" s="6" t="s">
        <v>2240</v>
      </c>
    </row>
    <row r="470" customFormat="false" ht="15" hidden="false" customHeight="false" outlineLevel="0" collapsed="false">
      <c r="A470" s="6" t="s">
        <v>2241</v>
      </c>
      <c r="B470" s="6" t="s">
        <v>2242</v>
      </c>
      <c r="C470" s="6" t="s">
        <v>2191</v>
      </c>
      <c r="D470" s="6" t="s">
        <v>2218</v>
      </c>
      <c r="E470" s="6"/>
      <c r="F470" s="6" t="s">
        <v>2179</v>
      </c>
      <c r="G470" s="6" t="s">
        <v>2180</v>
      </c>
      <c r="H470" s="7" t="n">
        <v>4</v>
      </c>
      <c r="I470" s="8" t="n">
        <v>1</v>
      </c>
      <c r="J470" s="9" t="n">
        <v>220.03</v>
      </c>
      <c r="K470" s="8" t="s">
        <v>35</v>
      </c>
      <c r="L470" s="10" t="s">
        <v>2103</v>
      </c>
      <c r="M470" s="10" t="s">
        <v>2181</v>
      </c>
      <c r="N470" s="10" t="s">
        <v>2182</v>
      </c>
      <c r="O470" s="8" t="str">
        <f aca="false">IF(M470="prescription","Yes","No")</f>
        <v>No</v>
      </c>
      <c r="P470" s="6"/>
      <c r="Q470" s="6" t="s">
        <v>2243</v>
      </c>
    </row>
    <row r="471" customFormat="false" ht="15" hidden="false" customHeight="false" outlineLevel="0" collapsed="false">
      <c r="A471" s="6" t="s">
        <v>2244</v>
      </c>
      <c r="B471" s="6" t="s">
        <v>2245</v>
      </c>
      <c r="C471" s="6" t="s">
        <v>2186</v>
      </c>
      <c r="D471" s="6" t="s">
        <v>2246</v>
      </c>
      <c r="E471" s="6"/>
      <c r="F471" s="6" t="s">
        <v>2179</v>
      </c>
      <c r="G471" s="6" t="s">
        <v>2180</v>
      </c>
      <c r="H471" s="7" t="n">
        <v>4</v>
      </c>
      <c r="I471" s="8" t="n">
        <v>1</v>
      </c>
      <c r="J471" s="9" t="n">
        <v>339.55</v>
      </c>
      <c r="K471" s="8" t="s">
        <v>35</v>
      </c>
      <c r="L471" s="10" t="s">
        <v>2103</v>
      </c>
      <c r="M471" s="10" t="s">
        <v>2181</v>
      </c>
      <c r="N471" s="10" t="s">
        <v>2182</v>
      </c>
      <c r="O471" s="8" t="str">
        <f aca="false">IF(M471="prescription","Yes","No")</f>
        <v>No</v>
      </c>
      <c r="P471" s="6"/>
      <c r="Q471" s="6" t="s">
        <v>2247</v>
      </c>
    </row>
    <row r="472" customFormat="false" ht="15" hidden="false" customHeight="false" outlineLevel="0" collapsed="false">
      <c r="A472" s="6" t="s">
        <v>2248</v>
      </c>
      <c r="B472" s="6" t="s">
        <v>2249</v>
      </c>
      <c r="C472" s="6" t="s">
        <v>2186</v>
      </c>
      <c r="D472" s="6" t="s">
        <v>2246</v>
      </c>
      <c r="E472" s="6"/>
      <c r="F472" s="6" t="s">
        <v>2179</v>
      </c>
      <c r="G472" s="6" t="s">
        <v>2180</v>
      </c>
      <c r="H472" s="7" t="n">
        <v>7</v>
      </c>
      <c r="I472" s="8" t="n">
        <v>1</v>
      </c>
      <c r="J472" s="9" t="n">
        <v>339.55</v>
      </c>
      <c r="K472" s="8" t="s">
        <v>35</v>
      </c>
      <c r="L472" s="10" t="s">
        <v>2103</v>
      </c>
      <c r="M472" s="10" t="s">
        <v>2181</v>
      </c>
      <c r="N472" s="10" t="s">
        <v>2182</v>
      </c>
      <c r="O472" s="8" t="str">
        <f aca="false">IF(M472="prescription","Yes","No")</f>
        <v>No</v>
      </c>
      <c r="P472" s="6"/>
      <c r="Q472" s="6" t="s">
        <v>2250</v>
      </c>
    </row>
    <row r="473" customFormat="false" ht="15" hidden="false" customHeight="false" outlineLevel="0" collapsed="false">
      <c r="A473" s="6" t="s">
        <v>2251</v>
      </c>
      <c r="B473" s="6" t="s">
        <v>2252</v>
      </c>
      <c r="C473" s="6" t="s">
        <v>2186</v>
      </c>
      <c r="D473" s="6" t="s">
        <v>2246</v>
      </c>
      <c r="E473" s="6"/>
      <c r="F473" s="6" t="s">
        <v>2179</v>
      </c>
      <c r="G473" s="6" t="s">
        <v>2180</v>
      </c>
      <c r="H473" s="7" t="n">
        <v>6</v>
      </c>
      <c r="I473" s="8" t="n">
        <v>1</v>
      </c>
      <c r="J473" s="9" t="n">
        <v>400.38</v>
      </c>
      <c r="K473" s="8" t="s">
        <v>35</v>
      </c>
      <c r="L473" s="10" t="s">
        <v>2103</v>
      </c>
      <c r="M473" s="10" t="s">
        <v>2181</v>
      </c>
      <c r="N473" s="10" t="s">
        <v>2182</v>
      </c>
      <c r="O473" s="8" t="str">
        <f aca="false">IF(M473="prescription","Yes","No")</f>
        <v>No</v>
      </c>
      <c r="P473" s="6"/>
      <c r="Q473" s="6" t="s">
        <v>2253</v>
      </c>
    </row>
    <row r="474" customFormat="false" ht="15" hidden="false" customHeight="false" outlineLevel="0" collapsed="false">
      <c r="A474" s="6" t="s">
        <v>2254</v>
      </c>
      <c r="B474" s="6" t="s">
        <v>2255</v>
      </c>
      <c r="C474" s="6" t="s">
        <v>2186</v>
      </c>
      <c r="D474" s="6" t="s">
        <v>2246</v>
      </c>
      <c r="E474" s="6"/>
      <c r="F474" s="6" t="s">
        <v>2179</v>
      </c>
      <c r="G474" s="6" t="s">
        <v>2180</v>
      </c>
      <c r="H474" s="7" t="n">
        <v>2</v>
      </c>
      <c r="I474" s="8" t="n">
        <v>1</v>
      </c>
      <c r="J474" s="9" t="n">
        <v>458.26</v>
      </c>
      <c r="K474" s="8" t="s">
        <v>35</v>
      </c>
      <c r="L474" s="10" t="s">
        <v>2103</v>
      </c>
      <c r="M474" s="10" t="s">
        <v>2181</v>
      </c>
      <c r="N474" s="10" t="s">
        <v>2182</v>
      </c>
      <c r="O474" s="8" t="str">
        <f aca="false">IF(M474="prescription","Yes","No")</f>
        <v>No</v>
      </c>
      <c r="P474" s="6"/>
      <c r="Q474" s="6" t="s">
        <v>2256</v>
      </c>
    </row>
    <row r="475" customFormat="false" ht="15" hidden="false" customHeight="false" outlineLevel="0" collapsed="false">
      <c r="A475" s="6" t="s">
        <v>2257</v>
      </c>
      <c r="B475" s="6" t="s">
        <v>2258</v>
      </c>
      <c r="C475" s="6" t="s">
        <v>2259</v>
      </c>
      <c r="D475" s="6" t="s">
        <v>2260</v>
      </c>
      <c r="E475" s="6"/>
      <c r="F475" s="6" t="s">
        <v>2179</v>
      </c>
      <c r="G475" s="6" t="s">
        <v>2180</v>
      </c>
      <c r="H475" s="7" t="n">
        <v>9</v>
      </c>
      <c r="I475" s="8" t="n">
        <v>1</v>
      </c>
      <c r="J475" s="9" t="n">
        <v>499.91</v>
      </c>
      <c r="K475" s="8" t="s">
        <v>35</v>
      </c>
      <c r="L475" s="10" t="s">
        <v>2103</v>
      </c>
      <c r="M475" s="10" t="s">
        <v>2181</v>
      </c>
      <c r="N475" s="10" t="s">
        <v>2182</v>
      </c>
      <c r="O475" s="8" t="str">
        <f aca="false">IF(M475="prescription","Yes","No")</f>
        <v>No</v>
      </c>
      <c r="P475" s="6"/>
      <c r="Q475" s="6" t="s">
        <v>2261</v>
      </c>
    </row>
    <row r="476" customFormat="false" ht="15" hidden="false" customHeight="false" outlineLevel="0" collapsed="false">
      <c r="A476" s="6" t="s">
        <v>2262</v>
      </c>
      <c r="B476" s="6" t="s">
        <v>2263</v>
      </c>
      <c r="C476" s="6" t="s">
        <v>2259</v>
      </c>
      <c r="D476" s="6" t="s">
        <v>2264</v>
      </c>
      <c r="E476" s="6" t="s">
        <v>2178</v>
      </c>
      <c r="F476" s="6" t="s">
        <v>2179</v>
      </c>
      <c r="G476" s="6" t="s">
        <v>2180</v>
      </c>
      <c r="H476" s="7" t="n">
        <v>15</v>
      </c>
      <c r="I476" s="8" t="n">
        <v>1</v>
      </c>
      <c r="J476" s="9" t="n">
        <v>385.46</v>
      </c>
      <c r="K476" s="8" t="s">
        <v>35</v>
      </c>
      <c r="L476" s="10" t="s">
        <v>2103</v>
      </c>
      <c r="M476" s="10" t="s">
        <v>2181</v>
      </c>
      <c r="N476" s="10" t="s">
        <v>2182</v>
      </c>
      <c r="O476" s="8" t="str">
        <f aca="false">IF(M476="prescription","Yes","No")</f>
        <v>No</v>
      </c>
      <c r="P476" s="6"/>
      <c r="Q476" s="6" t="s">
        <v>2265</v>
      </c>
    </row>
    <row r="477" customFormat="false" ht="15" hidden="false" customHeight="false" outlineLevel="0" collapsed="false">
      <c r="A477" s="6" t="s">
        <v>2266</v>
      </c>
      <c r="B477" s="6" t="s">
        <v>2267</v>
      </c>
      <c r="C477" s="6" t="s">
        <v>2259</v>
      </c>
      <c r="D477" s="6" t="s">
        <v>2264</v>
      </c>
      <c r="E477" s="6" t="s">
        <v>2178</v>
      </c>
      <c r="F477" s="6" t="s">
        <v>2179</v>
      </c>
      <c r="G477" s="6" t="s">
        <v>2180</v>
      </c>
      <c r="H477" s="7" t="n">
        <v>15</v>
      </c>
      <c r="I477" s="8" t="n">
        <v>1</v>
      </c>
      <c r="J477" s="9" t="n">
        <v>385.46</v>
      </c>
      <c r="K477" s="8" t="s">
        <v>35</v>
      </c>
      <c r="L477" s="10" t="s">
        <v>2103</v>
      </c>
      <c r="M477" s="10" t="s">
        <v>2181</v>
      </c>
      <c r="N477" s="10" t="s">
        <v>2182</v>
      </c>
      <c r="O477" s="8" t="str">
        <f aca="false">IF(M477="prescription","Yes","No")</f>
        <v>No</v>
      </c>
      <c r="P477" s="6"/>
      <c r="Q477" s="6" t="s">
        <v>2268</v>
      </c>
    </row>
    <row r="478" customFormat="false" ht="15" hidden="false" customHeight="false" outlineLevel="0" collapsed="false">
      <c r="A478" s="6" t="s">
        <v>2269</v>
      </c>
      <c r="B478" s="6" t="s">
        <v>2270</v>
      </c>
      <c r="C478" s="6" t="s">
        <v>2259</v>
      </c>
      <c r="D478" s="6" t="s">
        <v>2264</v>
      </c>
      <c r="E478" s="6" t="s">
        <v>2178</v>
      </c>
      <c r="F478" s="6" t="s">
        <v>2179</v>
      </c>
      <c r="G478" s="6" t="s">
        <v>2180</v>
      </c>
      <c r="H478" s="7" t="n">
        <v>15</v>
      </c>
      <c r="I478" s="8" t="n">
        <v>1</v>
      </c>
      <c r="J478" s="9" t="n">
        <v>385.46</v>
      </c>
      <c r="K478" s="8" t="s">
        <v>35</v>
      </c>
      <c r="L478" s="10" t="s">
        <v>2103</v>
      </c>
      <c r="M478" s="10" t="s">
        <v>2181</v>
      </c>
      <c r="N478" s="10" t="s">
        <v>2182</v>
      </c>
      <c r="O478" s="8" t="str">
        <f aca="false">IF(M478="prescription","Yes","No")</f>
        <v>No</v>
      </c>
      <c r="P478" s="6"/>
      <c r="Q478" s="6" t="s">
        <v>2271</v>
      </c>
    </row>
    <row r="479" customFormat="false" ht="15" hidden="false" customHeight="false" outlineLevel="0" collapsed="false">
      <c r="A479" s="6" t="s">
        <v>2272</v>
      </c>
      <c r="B479" s="6" t="s">
        <v>2273</v>
      </c>
      <c r="C479" s="6" t="s">
        <v>2259</v>
      </c>
      <c r="D479" s="6" t="s">
        <v>2264</v>
      </c>
      <c r="E479" s="6" t="s">
        <v>2178</v>
      </c>
      <c r="F479" s="6" t="s">
        <v>2179</v>
      </c>
      <c r="G479" s="6" t="s">
        <v>2180</v>
      </c>
      <c r="H479" s="7" t="n">
        <v>15</v>
      </c>
      <c r="I479" s="8" t="n">
        <v>1</v>
      </c>
      <c r="J479" s="9" t="n">
        <v>385.46</v>
      </c>
      <c r="K479" s="8" t="s">
        <v>35</v>
      </c>
      <c r="L479" s="10" t="s">
        <v>2103</v>
      </c>
      <c r="M479" s="10" t="s">
        <v>2181</v>
      </c>
      <c r="N479" s="10" t="s">
        <v>2182</v>
      </c>
      <c r="O479" s="8" t="str">
        <f aca="false">IF(M479="prescription","Yes","No")</f>
        <v>No</v>
      </c>
      <c r="P479" s="6"/>
      <c r="Q479" s="6" t="s">
        <v>2274</v>
      </c>
    </row>
    <row r="480" customFormat="false" ht="15" hidden="false" customHeight="false" outlineLevel="0" collapsed="false">
      <c r="A480" s="6" t="s">
        <v>2275</v>
      </c>
      <c r="B480" s="6" t="s">
        <v>2276</v>
      </c>
      <c r="C480" s="6" t="s">
        <v>2259</v>
      </c>
      <c r="D480" s="6" t="s">
        <v>2264</v>
      </c>
      <c r="E480" s="6" t="s">
        <v>2178</v>
      </c>
      <c r="F480" s="6" t="s">
        <v>2179</v>
      </c>
      <c r="G480" s="6" t="s">
        <v>2180</v>
      </c>
      <c r="H480" s="7" t="n">
        <v>14</v>
      </c>
      <c r="I480" s="8" t="n">
        <v>1</v>
      </c>
      <c r="J480" s="9" t="n">
        <v>385.46</v>
      </c>
      <c r="K480" s="8" t="s">
        <v>35</v>
      </c>
      <c r="L480" s="10" t="s">
        <v>2103</v>
      </c>
      <c r="M480" s="10" t="s">
        <v>2181</v>
      </c>
      <c r="N480" s="10" t="s">
        <v>2182</v>
      </c>
      <c r="O480" s="8" t="str">
        <f aca="false">IF(M480="prescription","Yes","No")</f>
        <v>No</v>
      </c>
      <c r="P480" s="6"/>
      <c r="Q480" s="6" t="s">
        <v>2277</v>
      </c>
    </row>
    <row r="481" customFormat="false" ht="15" hidden="false" customHeight="false" outlineLevel="0" collapsed="false">
      <c r="A481" s="6" t="s">
        <v>2278</v>
      </c>
      <c r="B481" s="6" t="s">
        <v>2279</v>
      </c>
      <c r="C481" s="6" t="s">
        <v>2259</v>
      </c>
      <c r="D481" s="6" t="s">
        <v>2264</v>
      </c>
      <c r="E481" s="6" t="s">
        <v>2178</v>
      </c>
      <c r="F481" s="6" t="s">
        <v>2179</v>
      </c>
      <c r="G481" s="6" t="s">
        <v>2180</v>
      </c>
      <c r="H481" s="7" t="n">
        <v>13</v>
      </c>
      <c r="I481" s="8" t="n">
        <v>1</v>
      </c>
      <c r="J481" s="9" t="n">
        <v>385.46</v>
      </c>
      <c r="K481" s="8" t="s">
        <v>35</v>
      </c>
      <c r="L481" s="10" t="s">
        <v>2103</v>
      </c>
      <c r="M481" s="10" t="s">
        <v>2181</v>
      </c>
      <c r="N481" s="10" t="s">
        <v>2182</v>
      </c>
      <c r="O481" s="8" t="str">
        <f aca="false">IF(M481="prescription","Yes","No")</f>
        <v>No</v>
      </c>
      <c r="P481" s="6"/>
      <c r="Q481" s="6" t="s">
        <v>2280</v>
      </c>
    </row>
    <row r="482" customFormat="false" ht="15" hidden="false" customHeight="false" outlineLevel="0" collapsed="false">
      <c r="A482" s="6" t="s">
        <v>2281</v>
      </c>
      <c r="B482" s="6" t="s">
        <v>2282</v>
      </c>
      <c r="C482" s="6" t="s">
        <v>2259</v>
      </c>
      <c r="D482" s="6" t="s">
        <v>2264</v>
      </c>
      <c r="E482" s="6" t="s">
        <v>2178</v>
      </c>
      <c r="F482" s="6" t="s">
        <v>2179</v>
      </c>
      <c r="G482" s="6" t="s">
        <v>2180</v>
      </c>
      <c r="H482" s="7" t="n">
        <v>13</v>
      </c>
      <c r="I482" s="8" t="n">
        <v>1</v>
      </c>
      <c r="J482" s="9" t="n">
        <v>385.46</v>
      </c>
      <c r="K482" s="8" t="s">
        <v>35</v>
      </c>
      <c r="L482" s="10" t="s">
        <v>2103</v>
      </c>
      <c r="M482" s="10" t="s">
        <v>2181</v>
      </c>
      <c r="N482" s="10" t="s">
        <v>2182</v>
      </c>
      <c r="O482" s="8" t="str">
        <f aca="false">IF(M482="prescription","Yes","No")</f>
        <v>No</v>
      </c>
      <c r="P482" s="6"/>
      <c r="Q482" s="6" t="s">
        <v>2283</v>
      </c>
    </row>
    <row r="483" customFormat="false" ht="15" hidden="false" customHeight="false" outlineLevel="0" collapsed="false">
      <c r="A483" s="6" t="s">
        <v>2284</v>
      </c>
      <c r="B483" s="6" t="s">
        <v>2285</v>
      </c>
      <c r="C483" s="6" t="s">
        <v>2259</v>
      </c>
      <c r="D483" s="6" t="s">
        <v>2264</v>
      </c>
      <c r="E483" s="6" t="s">
        <v>2178</v>
      </c>
      <c r="F483" s="6" t="s">
        <v>2179</v>
      </c>
      <c r="G483" s="6" t="s">
        <v>2180</v>
      </c>
      <c r="H483" s="7" t="n">
        <v>14</v>
      </c>
      <c r="I483" s="8" t="n">
        <v>1</v>
      </c>
      <c r="J483" s="9" t="n">
        <v>385.46</v>
      </c>
      <c r="K483" s="8" t="s">
        <v>35</v>
      </c>
      <c r="L483" s="10" t="s">
        <v>2103</v>
      </c>
      <c r="M483" s="10" t="s">
        <v>2181</v>
      </c>
      <c r="N483" s="10" t="s">
        <v>2182</v>
      </c>
      <c r="O483" s="8" t="str">
        <f aca="false">IF(M483="prescription","Yes","No")</f>
        <v>No</v>
      </c>
      <c r="P483" s="6"/>
      <c r="Q483" s="6" t="s">
        <v>2286</v>
      </c>
    </row>
    <row r="484" customFormat="false" ht="15" hidden="false" customHeight="false" outlineLevel="0" collapsed="false">
      <c r="A484" s="6" t="s">
        <v>2287</v>
      </c>
      <c r="B484" s="6" t="s">
        <v>2288</v>
      </c>
      <c r="C484" s="6" t="s">
        <v>2259</v>
      </c>
      <c r="D484" s="6" t="s">
        <v>2264</v>
      </c>
      <c r="E484" s="6" t="s">
        <v>2178</v>
      </c>
      <c r="F484" s="6" t="s">
        <v>2179</v>
      </c>
      <c r="G484" s="6" t="s">
        <v>2180</v>
      </c>
      <c r="H484" s="7" t="n">
        <v>4</v>
      </c>
      <c r="I484" s="8" t="n">
        <v>1</v>
      </c>
      <c r="J484" s="9" t="n">
        <v>385.46</v>
      </c>
      <c r="K484" s="8" t="s">
        <v>35</v>
      </c>
      <c r="L484" s="10" t="s">
        <v>2103</v>
      </c>
      <c r="M484" s="10" t="s">
        <v>2181</v>
      </c>
      <c r="N484" s="10" t="s">
        <v>2182</v>
      </c>
      <c r="O484" s="8" t="str">
        <f aca="false">IF(M484="prescription","Yes","No")</f>
        <v>No</v>
      </c>
      <c r="P484" s="6"/>
      <c r="Q484" s="6" t="s">
        <v>2289</v>
      </c>
    </row>
    <row r="485" customFormat="false" ht="15" hidden="false" customHeight="false" outlineLevel="0" collapsed="false">
      <c r="A485" s="6" t="s">
        <v>2290</v>
      </c>
      <c r="B485" s="6" t="s">
        <v>2291</v>
      </c>
      <c r="C485" s="6" t="s">
        <v>2259</v>
      </c>
      <c r="D485" s="6" t="s">
        <v>2264</v>
      </c>
      <c r="E485" s="6" t="s">
        <v>2178</v>
      </c>
      <c r="F485" s="6" t="s">
        <v>2179</v>
      </c>
      <c r="G485" s="6" t="s">
        <v>2180</v>
      </c>
      <c r="H485" s="7" t="n">
        <v>5</v>
      </c>
      <c r="I485" s="8" t="n">
        <v>1</v>
      </c>
      <c r="J485" s="9" t="n">
        <v>385.46</v>
      </c>
      <c r="K485" s="8" t="s">
        <v>35</v>
      </c>
      <c r="L485" s="10" t="s">
        <v>2103</v>
      </c>
      <c r="M485" s="10" t="s">
        <v>2181</v>
      </c>
      <c r="N485" s="10" t="s">
        <v>2182</v>
      </c>
      <c r="O485" s="8" t="str">
        <f aca="false">IF(M485="prescription","Yes","No")</f>
        <v>No</v>
      </c>
      <c r="P485" s="6"/>
      <c r="Q485" s="6" t="s">
        <v>2292</v>
      </c>
    </row>
    <row r="486" customFormat="false" ht="15" hidden="false" customHeight="false" outlineLevel="0" collapsed="false">
      <c r="A486" s="6" t="s">
        <v>2293</v>
      </c>
      <c r="B486" s="6" t="s">
        <v>2294</v>
      </c>
      <c r="C486" s="6" t="s">
        <v>2259</v>
      </c>
      <c r="D486" s="6" t="s">
        <v>2264</v>
      </c>
      <c r="E486" s="6" t="s">
        <v>2178</v>
      </c>
      <c r="F486" s="6" t="s">
        <v>2179</v>
      </c>
      <c r="G486" s="6" t="s">
        <v>2180</v>
      </c>
      <c r="H486" s="7" t="n">
        <v>15</v>
      </c>
      <c r="I486" s="8" t="n">
        <v>1</v>
      </c>
      <c r="J486" s="9" t="n">
        <v>385.46</v>
      </c>
      <c r="K486" s="8" t="s">
        <v>35</v>
      </c>
      <c r="L486" s="10" t="s">
        <v>2103</v>
      </c>
      <c r="M486" s="10" t="s">
        <v>2181</v>
      </c>
      <c r="N486" s="10" t="s">
        <v>2182</v>
      </c>
      <c r="O486" s="8" t="str">
        <f aca="false">IF(M486="prescription","Yes","No")</f>
        <v>No</v>
      </c>
      <c r="P486" s="6"/>
      <c r="Q486" s="6" t="s">
        <v>2295</v>
      </c>
    </row>
    <row r="487" customFormat="false" ht="15" hidden="false" customHeight="false" outlineLevel="0" collapsed="false">
      <c r="A487" s="6" t="s">
        <v>2296</v>
      </c>
      <c r="B487" s="6" t="s">
        <v>2297</v>
      </c>
      <c r="C487" s="6" t="s">
        <v>2259</v>
      </c>
      <c r="D487" s="6" t="s">
        <v>2264</v>
      </c>
      <c r="E487" s="6" t="s">
        <v>2178</v>
      </c>
      <c r="F487" s="6" t="s">
        <v>2179</v>
      </c>
      <c r="G487" s="6" t="s">
        <v>2180</v>
      </c>
      <c r="H487" s="7" t="n">
        <v>5</v>
      </c>
      <c r="I487" s="8" t="n">
        <v>1</v>
      </c>
      <c r="J487" s="9" t="n">
        <v>385.46</v>
      </c>
      <c r="K487" s="8" t="s">
        <v>35</v>
      </c>
      <c r="L487" s="10" t="s">
        <v>2103</v>
      </c>
      <c r="M487" s="10" t="s">
        <v>2181</v>
      </c>
      <c r="N487" s="10" t="s">
        <v>2182</v>
      </c>
      <c r="O487" s="8" t="str">
        <f aca="false">IF(M487="prescription","Yes","No")</f>
        <v>No</v>
      </c>
      <c r="P487" s="6"/>
      <c r="Q487" s="6" t="s">
        <v>2298</v>
      </c>
    </row>
    <row r="488" customFormat="false" ht="15" hidden="false" customHeight="false" outlineLevel="0" collapsed="false">
      <c r="A488" s="6" t="s">
        <v>2299</v>
      </c>
      <c r="B488" s="6" t="s">
        <v>2300</v>
      </c>
      <c r="C488" s="6" t="s">
        <v>2259</v>
      </c>
      <c r="D488" s="6" t="s">
        <v>2264</v>
      </c>
      <c r="E488" s="6" t="s">
        <v>2178</v>
      </c>
      <c r="F488" s="6" t="s">
        <v>2179</v>
      </c>
      <c r="G488" s="6" t="s">
        <v>2180</v>
      </c>
      <c r="H488" s="7" t="n">
        <v>14</v>
      </c>
      <c r="I488" s="8" t="n">
        <v>1</v>
      </c>
      <c r="J488" s="9" t="n">
        <v>385.46</v>
      </c>
      <c r="K488" s="8" t="s">
        <v>35</v>
      </c>
      <c r="L488" s="10" t="s">
        <v>2103</v>
      </c>
      <c r="M488" s="10" t="s">
        <v>2181</v>
      </c>
      <c r="N488" s="10" t="s">
        <v>2182</v>
      </c>
      <c r="O488" s="8" t="str">
        <f aca="false">IF(M488="prescription","Yes","No")</f>
        <v>No</v>
      </c>
      <c r="P488" s="6"/>
      <c r="Q488" s="6" t="s">
        <v>2301</v>
      </c>
    </row>
    <row r="489" customFormat="false" ht="15" hidden="false" customHeight="false" outlineLevel="0" collapsed="false">
      <c r="A489" s="6" t="s">
        <v>2302</v>
      </c>
      <c r="B489" s="6" t="s">
        <v>2303</v>
      </c>
      <c r="C489" s="6" t="s">
        <v>2259</v>
      </c>
      <c r="D489" s="6" t="s">
        <v>2264</v>
      </c>
      <c r="E489" s="6" t="s">
        <v>2178</v>
      </c>
      <c r="F489" s="6" t="s">
        <v>2179</v>
      </c>
      <c r="G489" s="6" t="s">
        <v>2180</v>
      </c>
      <c r="H489" s="7" t="n">
        <v>15</v>
      </c>
      <c r="I489" s="8" t="n">
        <v>1</v>
      </c>
      <c r="J489" s="9" t="n">
        <v>385.46</v>
      </c>
      <c r="K489" s="8" t="s">
        <v>35</v>
      </c>
      <c r="L489" s="10" t="s">
        <v>2103</v>
      </c>
      <c r="M489" s="10" t="s">
        <v>2181</v>
      </c>
      <c r="N489" s="10" t="s">
        <v>2182</v>
      </c>
      <c r="O489" s="8" t="str">
        <f aca="false">IF(M489="prescription","Yes","No")</f>
        <v>No</v>
      </c>
      <c r="P489" s="6"/>
      <c r="Q489" s="6" t="s">
        <v>2304</v>
      </c>
    </row>
    <row r="490" customFormat="false" ht="15" hidden="false" customHeight="false" outlineLevel="0" collapsed="false">
      <c r="A490" s="6" t="s">
        <v>2305</v>
      </c>
      <c r="B490" s="6" t="s">
        <v>2306</v>
      </c>
      <c r="C490" s="6" t="s">
        <v>2259</v>
      </c>
      <c r="D490" s="6" t="s">
        <v>2264</v>
      </c>
      <c r="E490" s="6" t="s">
        <v>2178</v>
      </c>
      <c r="F490" s="6" t="s">
        <v>2179</v>
      </c>
      <c r="G490" s="6" t="s">
        <v>2180</v>
      </c>
      <c r="H490" s="7" t="n">
        <v>5</v>
      </c>
      <c r="I490" s="8" t="n">
        <v>1</v>
      </c>
      <c r="J490" s="9" t="n">
        <v>385.46</v>
      </c>
      <c r="K490" s="8" t="s">
        <v>35</v>
      </c>
      <c r="L490" s="10" t="s">
        <v>2103</v>
      </c>
      <c r="M490" s="10" t="s">
        <v>2181</v>
      </c>
      <c r="N490" s="10" t="s">
        <v>2182</v>
      </c>
      <c r="O490" s="8" t="str">
        <f aca="false">IF(M490="prescription","Yes","No")</f>
        <v>No</v>
      </c>
      <c r="P490" s="6"/>
      <c r="Q490" s="6" t="s">
        <v>2307</v>
      </c>
    </row>
    <row r="491" customFormat="false" ht="15" hidden="false" customHeight="false" outlineLevel="0" collapsed="false">
      <c r="A491" s="6" t="s">
        <v>2308</v>
      </c>
      <c r="B491" s="6" t="s">
        <v>2309</v>
      </c>
      <c r="C491" s="6" t="s">
        <v>2259</v>
      </c>
      <c r="D491" s="6" t="s">
        <v>2264</v>
      </c>
      <c r="E491" s="6" t="s">
        <v>2178</v>
      </c>
      <c r="F491" s="6" t="s">
        <v>2179</v>
      </c>
      <c r="G491" s="6" t="s">
        <v>2180</v>
      </c>
      <c r="H491" s="7" t="n">
        <v>13</v>
      </c>
      <c r="I491" s="8" t="n">
        <v>1</v>
      </c>
      <c r="J491" s="9" t="n">
        <v>385.46</v>
      </c>
      <c r="K491" s="8" t="s">
        <v>35</v>
      </c>
      <c r="L491" s="10" t="s">
        <v>2103</v>
      </c>
      <c r="M491" s="10" t="s">
        <v>2181</v>
      </c>
      <c r="N491" s="10" t="s">
        <v>2182</v>
      </c>
      <c r="O491" s="8" t="str">
        <f aca="false">IF(M491="prescription","Yes","No")</f>
        <v>No</v>
      </c>
      <c r="P491" s="6"/>
      <c r="Q491" s="6" t="s">
        <v>2310</v>
      </c>
    </row>
    <row r="492" customFormat="false" ht="15" hidden="false" customHeight="false" outlineLevel="0" collapsed="false">
      <c r="A492" s="6" t="s">
        <v>2311</v>
      </c>
      <c r="B492" s="6" t="s">
        <v>2312</v>
      </c>
      <c r="C492" s="6" t="s">
        <v>2259</v>
      </c>
      <c r="D492" s="6" t="s">
        <v>2264</v>
      </c>
      <c r="E492" s="6" t="s">
        <v>2178</v>
      </c>
      <c r="F492" s="6" t="s">
        <v>2179</v>
      </c>
      <c r="G492" s="6" t="s">
        <v>2180</v>
      </c>
      <c r="H492" s="7" t="n">
        <v>4</v>
      </c>
      <c r="I492" s="8" t="n">
        <v>1</v>
      </c>
      <c r="J492" s="9" t="n">
        <v>385.46</v>
      </c>
      <c r="K492" s="8" t="s">
        <v>35</v>
      </c>
      <c r="L492" s="10" t="s">
        <v>2103</v>
      </c>
      <c r="M492" s="10" t="s">
        <v>2181</v>
      </c>
      <c r="N492" s="10" t="s">
        <v>2182</v>
      </c>
      <c r="O492" s="8" t="str">
        <f aca="false">IF(M492="prescription","Yes","No")</f>
        <v>No</v>
      </c>
      <c r="P492" s="6"/>
      <c r="Q492" s="6" t="s">
        <v>2313</v>
      </c>
    </row>
    <row r="493" customFormat="false" ht="15" hidden="false" customHeight="false" outlineLevel="0" collapsed="false">
      <c r="A493" s="6" t="s">
        <v>2314</v>
      </c>
      <c r="B493" s="6" t="s">
        <v>2315</v>
      </c>
      <c r="C493" s="6" t="s">
        <v>2259</v>
      </c>
      <c r="D493" s="6" t="s">
        <v>2316</v>
      </c>
      <c r="E493" s="6" t="s">
        <v>2178</v>
      </c>
      <c r="F493" s="6" t="s">
        <v>2179</v>
      </c>
      <c r="G493" s="6" t="s">
        <v>2180</v>
      </c>
      <c r="H493" s="7" t="n">
        <v>25</v>
      </c>
      <c r="I493" s="8" t="n">
        <v>1</v>
      </c>
      <c r="J493" s="9" t="n">
        <v>190.26</v>
      </c>
      <c r="K493" s="8" t="s">
        <v>35</v>
      </c>
      <c r="L493" s="10" t="s">
        <v>2103</v>
      </c>
      <c r="M493" s="10" t="s">
        <v>2181</v>
      </c>
      <c r="N493" s="10" t="s">
        <v>2182</v>
      </c>
      <c r="O493" s="8" t="str">
        <f aca="false">IF(M493="prescription","Yes","No")</f>
        <v>No</v>
      </c>
      <c r="P493" s="6"/>
      <c r="Q493" s="6" t="s">
        <v>2317</v>
      </c>
    </row>
    <row r="494" customFormat="false" ht="15" hidden="false" customHeight="false" outlineLevel="0" collapsed="false">
      <c r="A494" s="6" t="s">
        <v>2318</v>
      </c>
      <c r="B494" s="6" t="s">
        <v>2319</v>
      </c>
      <c r="C494" s="6" t="s">
        <v>677</v>
      </c>
      <c r="D494" s="6" t="s">
        <v>2316</v>
      </c>
      <c r="E494" s="6" t="s">
        <v>2178</v>
      </c>
      <c r="F494" s="6" t="s">
        <v>2179</v>
      </c>
      <c r="G494" s="6" t="s">
        <v>2180</v>
      </c>
      <c r="H494" s="7" t="n">
        <v>2</v>
      </c>
      <c r="I494" s="8" t="n">
        <v>1</v>
      </c>
      <c r="J494" s="9" t="n">
        <v>190.26</v>
      </c>
      <c r="K494" s="8" t="s">
        <v>35</v>
      </c>
      <c r="L494" s="10" t="s">
        <v>2103</v>
      </c>
      <c r="M494" s="10" t="s">
        <v>2181</v>
      </c>
      <c r="N494" s="10" t="s">
        <v>2182</v>
      </c>
      <c r="O494" s="8" t="str">
        <f aca="false">IF(M494="prescription","Yes","No")</f>
        <v>No</v>
      </c>
      <c r="P494" s="6"/>
      <c r="Q494" s="6" t="s">
        <v>2320</v>
      </c>
    </row>
    <row r="495" customFormat="false" ht="15" hidden="false" customHeight="false" outlineLevel="0" collapsed="false">
      <c r="A495" s="6" t="s">
        <v>2321</v>
      </c>
      <c r="B495" s="6" t="s">
        <v>2322</v>
      </c>
      <c r="C495" s="6" t="s">
        <v>677</v>
      </c>
      <c r="D495" s="6" t="s">
        <v>2316</v>
      </c>
      <c r="E495" s="6" t="s">
        <v>2178</v>
      </c>
      <c r="F495" s="6" t="s">
        <v>2179</v>
      </c>
      <c r="G495" s="6" t="s">
        <v>2180</v>
      </c>
      <c r="H495" s="7" t="n">
        <v>2</v>
      </c>
      <c r="I495" s="8" t="n">
        <v>1</v>
      </c>
      <c r="J495" s="9" t="n">
        <v>190.26</v>
      </c>
      <c r="K495" s="8" t="s">
        <v>35</v>
      </c>
      <c r="L495" s="10" t="s">
        <v>2103</v>
      </c>
      <c r="M495" s="10" t="s">
        <v>2181</v>
      </c>
      <c r="N495" s="10" t="s">
        <v>2182</v>
      </c>
      <c r="O495" s="8" t="str">
        <f aca="false">IF(M495="prescription","Yes","No")</f>
        <v>No</v>
      </c>
      <c r="P495" s="6"/>
      <c r="Q495" s="6" t="s">
        <v>2323</v>
      </c>
    </row>
    <row r="496" customFormat="false" ht="15" hidden="false" customHeight="false" outlineLevel="0" collapsed="false">
      <c r="A496" s="6" t="s">
        <v>2324</v>
      </c>
      <c r="B496" s="6" t="s">
        <v>2325</v>
      </c>
      <c r="C496" s="6" t="s">
        <v>677</v>
      </c>
      <c r="D496" s="6" t="s">
        <v>2316</v>
      </c>
      <c r="E496" s="6" t="s">
        <v>2178</v>
      </c>
      <c r="F496" s="6" t="s">
        <v>2179</v>
      </c>
      <c r="G496" s="6" t="s">
        <v>2180</v>
      </c>
      <c r="H496" s="7" t="n">
        <v>2</v>
      </c>
      <c r="I496" s="8" t="n">
        <v>1</v>
      </c>
      <c r="J496" s="9" t="n">
        <v>190.26</v>
      </c>
      <c r="K496" s="8" t="s">
        <v>35</v>
      </c>
      <c r="L496" s="10" t="s">
        <v>2103</v>
      </c>
      <c r="M496" s="10" t="s">
        <v>2181</v>
      </c>
      <c r="N496" s="10" t="s">
        <v>2182</v>
      </c>
      <c r="O496" s="8" t="str">
        <f aca="false">IF(M496="prescription","Yes","No")</f>
        <v>No</v>
      </c>
      <c r="P496" s="6"/>
      <c r="Q496" s="6" t="s">
        <v>2326</v>
      </c>
    </row>
    <row r="497" customFormat="false" ht="15" hidden="false" customHeight="false" outlineLevel="0" collapsed="false">
      <c r="A497" s="6" t="s">
        <v>2327</v>
      </c>
      <c r="B497" s="6" t="s">
        <v>2328</v>
      </c>
      <c r="C497" s="6" t="s">
        <v>2259</v>
      </c>
      <c r="D497" s="6" t="s">
        <v>2264</v>
      </c>
      <c r="E497" s="6" t="s">
        <v>2178</v>
      </c>
      <c r="F497" s="6" t="s">
        <v>2179</v>
      </c>
      <c r="G497" s="6" t="s">
        <v>2180</v>
      </c>
      <c r="H497" s="7" t="n">
        <v>10</v>
      </c>
      <c r="I497" s="8" t="n">
        <v>1</v>
      </c>
      <c r="J497" s="9" t="n">
        <v>385.46</v>
      </c>
      <c r="K497" s="8" t="s">
        <v>35</v>
      </c>
      <c r="L497" s="10" t="s">
        <v>2103</v>
      </c>
      <c r="M497" s="10" t="s">
        <v>2181</v>
      </c>
      <c r="N497" s="10" t="s">
        <v>2182</v>
      </c>
      <c r="O497" s="8" t="str">
        <f aca="false">IF(M497="prescription","Yes","No")</f>
        <v>No</v>
      </c>
      <c r="P497" s="6"/>
      <c r="Q497" s="6" t="s">
        <v>2329</v>
      </c>
    </row>
    <row r="498" customFormat="false" ht="15" hidden="false" customHeight="false" outlineLevel="0" collapsed="false">
      <c r="A498" s="6" t="s">
        <v>2330</v>
      </c>
      <c r="B498" s="6" t="s">
        <v>2331</v>
      </c>
      <c r="C498" s="6" t="s">
        <v>2259</v>
      </c>
      <c r="D498" s="6" t="s">
        <v>2264</v>
      </c>
      <c r="E498" s="6" t="s">
        <v>2178</v>
      </c>
      <c r="F498" s="6" t="s">
        <v>2179</v>
      </c>
      <c r="G498" s="6" t="s">
        <v>2180</v>
      </c>
      <c r="H498" s="7" t="n">
        <v>9</v>
      </c>
      <c r="I498" s="8" t="n">
        <v>1</v>
      </c>
      <c r="J498" s="9" t="n">
        <v>385.46</v>
      </c>
      <c r="K498" s="8" t="s">
        <v>35</v>
      </c>
      <c r="L498" s="10" t="s">
        <v>2103</v>
      </c>
      <c r="M498" s="10" t="s">
        <v>2181</v>
      </c>
      <c r="N498" s="10" t="s">
        <v>2182</v>
      </c>
      <c r="O498" s="8" t="str">
        <f aca="false">IF(M498="prescription","Yes","No")</f>
        <v>No</v>
      </c>
      <c r="P498" s="6"/>
      <c r="Q498" s="6" t="s">
        <v>2332</v>
      </c>
    </row>
    <row r="499" customFormat="false" ht="15" hidden="false" customHeight="false" outlineLevel="0" collapsed="false">
      <c r="A499" s="6" t="s">
        <v>2333</v>
      </c>
      <c r="B499" s="6" t="s">
        <v>2334</v>
      </c>
      <c r="C499" s="6" t="s">
        <v>2259</v>
      </c>
      <c r="D499" s="6" t="s">
        <v>2264</v>
      </c>
      <c r="E499" s="6" t="s">
        <v>2178</v>
      </c>
      <c r="F499" s="6" t="s">
        <v>2179</v>
      </c>
      <c r="G499" s="6" t="s">
        <v>2180</v>
      </c>
      <c r="H499" s="7" t="n">
        <v>12</v>
      </c>
      <c r="I499" s="8" t="n">
        <v>1</v>
      </c>
      <c r="J499" s="9" t="n">
        <v>385.46</v>
      </c>
      <c r="K499" s="8" t="s">
        <v>35</v>
      </c>
      <c r="L499" s="10" t="s">
        <v>2103</v>
      </c>
      <c r="M499" s="10" t="s">
        <v>2181</v>
      </c>
      <c r="N499" s="10" t="s">
        <v>2182</v>
      </c>
      <c r="O499" s="8" t="str">
        <f aca="false">IF(M499="prescription","Yes","No")</f>
        <v>No</v>
      </c>
      <c r="P499" s="6"/>
      <c r="Q499" s="6" t="s">
        <v>2335</v>
      </c>
    </row>
    <row r="500" customFormat="false" ht="15" hidden="false" customHeight="false" outlineLevel="0" collapsed="false">
      <c r="A500" s="6" t="s">
        <v>2336</v>
      </c>
      <c r="B500" s="6" t="s">
        <v>2337</v>
      </c>
      <c r="C500" s="6" t="s">
        <v>2259</v>
      </c>
      <c r="D500" s="6" t="s">
        <v>2264</v>
      </c>
      <c r="E500" s="6" t="s">
        <v>2178</v>
      </c>
      <c r="F500" s="6" t="s">
        <v>2179</v>
      </c>
      <c r="G500" s="6" t="s">
        <v>2180</v>
      </c>
      <c r="H500" s="7" t="n">
        <v>5</v>
      </c>
      <c r="I500" s="8" t="n">
        <v>1</v>
      </c>
      <c r="J500" s="9" t="n">
        <v>385.46</v>
      </c>
      <c r="K500" s="8" t="s">
        <v>35</v>
      </c>
      <c r="L500" s="10" t="s">
        <v>2103</v>
      </c>
      <c r="M500" s="10" t="s">
        <v>2181</v>
      </c>
      <c r="N500" s="10" t="s">
        <v>2182</v>
      </c>
      <c r="O500" s="8" t="str">
        <f aca="false">IF(M500="prescription","Yes","No")</f>
        <v>No</v>
      </c>
      <c r="P500" s="6"/>
      <c r="Q500" s="6" t="s">
        <v>2338</v>
      </c>
    </row>
    <row r="501" customFormat="false" ht="15" hidden="false" customHeight="false" outlineLevel="0" collapsed="false">
      <c r="A501" s="6" t="s">
        <v>2339</v>
      </c>
      <c r="B501" s="6" t="s">
        <v>2340</v>
      </c>
      <c r="C501" s="6" t="s">
        <v>2259</v>
      </c>
      <c r="D501" s="6" t="s">
        <v>2264</v>
      </c>
      <c r="E501" s="6" t="s">
        <v>2178</v>
      </c>
      <c r="F501" s="6" t="s">
        <v>2179</v>
      </c>
      <c r="G501" s="6" t="s">
        <v>2180</v>
      </c>
      <c r="H501" s="7" t="n">
        <v>8</v>
      </c>
      <c r="I501" s="8" t="n">
        <v>1</v>
      </c>
      <c r="J501" s="9" t="n">
        <v>385.46</v>
      </c>
      <c r="K501" s="8" t="s">
        <v>35</v>
      </c>
      <c r="L501" s="10" t="s">
        <v>2103</v>
      </c>
      <c r="M501" s="10" t="s">
        <v>2181</v>
      </c>
      <c r="N501" s="10" t="s">
        <v>2182</v>
      </c>
      <c r="O501" s="8" t="str">
        <f aca="false">IF(M501="prescription","Yes","No")</f>
        <v>No</v>
      </c>
      <c r="P501" s="6"/>
      <c r="Q501" s="6" t="s">
        <v>2341</v>
      </c>
    </row>
    <row r="502" customFormat="false" ht="15" hidden="false" customHeight="false" outlineLevel="0" collapsed="false">
      <c r="A502" s="6" t="s">
        <v>2342</v>
      </c>
      <c r="B502" s="6" t="s">
        <v>2343</v>
      </c>
      <c r="C502" s="6" t="s">
        <v>2176</v>
      </c>
      <c r="D502" s="6" t="s">
        <v>2246</v>
      </c>
      <c r="E502" s="6"/>
      <c r="F502" s="6" t="s">
        <v>2179</v>
      </c>
      <c r="G502" s="6" t="s">
        <v>2180</v>
      </c>
      <c r="H502" s="7" t="n">
        <v>4</v>
      </c>
      <c r="I502" s="8" t="n">
        <v>1</v>
      </c>
      <c r="J502" s="9" t="n">
        <v>655.44</v>
      </c>
      <c r="K502" s="8" t="s">
        <v>35</v>
      </c>
      <c r="L502" s="10" t="s">
        <v>2103</v>
      </c>
      <c r="M502" s="10" t="s">
        <v>2181</v>
      </c>
      <c r="N502" s="10" t="s">
        <v>2182</v>
      </c>
      <c r="O502" s="8" t="str">
        <f aca="false">IF(M502="prescription","Yes","No")</f>
        <v>No</v>
      </c>
      <c r="P502" s="6"/>
      <c r="Q502" s="6" t="s">
        <v>2344</v>
      </c>
    </row>
    <row r="503" customFormat="false" ht="15" hidden="false" customHeight="false" outlineLevel="0" collapsed="false">
      <c r="A503" s="6" t="s">
        <v>2345</v>
      </c>
      <c r="B503" s="6" t="s">
        <v>2346</v>
      </c>
      <c r="C503" s="6" t="s">
        <v>2176</v>
      </c>
      <c r="D503" s="6" t="s">
        <v>2246</v>
      </c>
      <c r="E503" s="6"/>
      <c r="F503" s="6" t="s">
        <v>2179</v>
      </c>
      <c r="G503" s="6" t="s">
        <v>2180</v>
      </c>
      <c r="H503" s="7" t="n">
        <v>5</v>
      </c>
      <c r="I503" s="8" t="n">
        <v>1</v>
      </c>
      <c r="J503" s="9" t="n">
        <v>655.44</v>
      </c>
      <c r="K503" s="8" t="s">
        <v>35</v>
      </c>
      <c r="L503" s="10" t="s">
        <v>2103</v>
      </c>
      <c r="M503" s="10" t="s">
        <v>2181</v>
      </c>
      <c r="N503" s="10" t="s">
        <v>2182</v>
      </c>
      <c r="O503" s="8" t="str">
        <f aca="false">IF(M503="prescription","Yes","No")</f>
        <v>No</v>
      </c>
      <c r="P503" s="6"/>
      <c r="Q503" s="6" t="s">
        <v>2347</v>
      </c>
    </row>
    <row r="504" customFormat="false" ht="15" hidden="false" customHeight="false" outlineLevel="0" collapsed="false">
      <c r="A504" s="6" t="s">
        <v>2348</v>
      </c>
      <c r="B504" s="6" t="s">
        <v>2349</v>
      </c>
      <c r="C504" s="6" t="s">
        <v>2176</v>
      </c>
      <c r="D504" s="6" t="s">
        <v>2246</v>
      </c>
      <c r="E504" s="6"/>
      <c r="F504" s="6" t="s">
        <v>2179</v>
      </c>
      <c r="G504" s="6" t="s">
        <v>2180</v>
      </c>
      <c r="H504" s="7" t="n">
        <v>3</v>
      </c>
      <c r="I504" s="8" t="n">
        <v>1</v>
      </c>
      <c r="J504" s="9" t="n">
        <v>655.44</v>
      </c>
      <c r="K504" s="8" t="s">
        <v>35</v>
      </c>
      <c r="L504" s="10" t="s">
        <v>2103</v>
      </c>
      <c r="M504" s="10" t="s">
        <v>2181</v>
      </c>
      <c r="N504" s="10" t="s">
        <v>2182</v>
      </c>
      <c r="O504" s="8" t="str">
        <f aca="false">IF(M504="prescription","Yes","No")</f>
        <v>No</v>
      </c>
      <c r="P504" s="6"/>
      <c r="Q504" s="6" t="s">
        <v>2350</v>
      </c>
    </row>
    <row r="505" customFormat="false" ht="15" hidden="false" customHeight="false" outlineLevel="0" collapsed="false">
      <c r="A505" s="6" t="s">
        <v>2351</v>
      </c>
      <c r="B505" s="6" t="s">
        <v>2352</v>
      </c>
      <c r="C505" s="6" t="s">
        <v>2176</v>
      </c>
      <c r="D505" s="6" t="s">
        <v>2353</v>
      </c>
      <c r="E505" s="6"/>
      <c r="F505" s="6" t="s">
        <v>2179</v>
      </c>
      <c r="G505" s="6" t="s">
        <v>2180</v>
      </c>
      <c r="H505" s="7" t="n">
        <v>9</v>
      </c>
      <c r="I505" s="8" t="n">
        <v>1</v>
      </c>
      <c r="J505" s="9" t="n">
        <v>316.88</v>
      </c>
      <c r="K505" s="8" t="s">
        <v>35</v>
      </c>
      <c r="L505" s="10" t="s">
        <v>2103</v>
      </c>
      <c r="M505" s="10" t="s">
        <v>2181</v>
      </c>
      <c r="N505" s="10" t="s">
        <v>2182</v>
      </c>
      <c r="O505" s="8" t="str">
        <f aca="false">IF(M505="prescription","Yes","No")</f>
        <v>No</v>
      </c>
      <c r="P505" s="6"/>
      <c r="Q505" s="6" t="s">
        <v>2354</v>
      </c>
    </row>
    <row r="506" customFormat="false" ht="15" hidden="false" customHeight="false" outlineLevel="0" collapsed="false">
      <c r="A506" s="6" t="s">
        <v>2355</v>
      </c>
      <c r="B506" s="6" t="s">
        <v>2356</v>
      </c>
      <c r="C506" s="6" t="s">
        <v>2176</v>
      </c>
      <c r="D506" s="6" t="s">
        <v>2353</v>
      </c>
      <c r="E506" s="6"/>
      <c r="F506" s="6" t="s">
        <v>2179</v>
      </c>
      <c r="G506" s="6" t="s">
        <v>2180</v>
      </c>
      <c r="H506" s="7" t="n">
        <v>8</v>
      </c>
      <c r="I506" s="8" t="n">
        <v>1</v>
      </c>
      <c r="J506" s="9" t="n">
        <v>316.88</v>
      </c>
      <c r="K506" s="8" t="s">
        <v>35</v>
      </c>
      <c r="L506" s="10" t="s">
        <v>2103</v>
      </c>
      <c r="M506" s="10" t="s">
        <v>2181</v>
      </c>
      <c r="N506" s="10" t="s">
        <v>2182</v>
      </c>
      <c r="O506" s="8" t="str">
        <f aca="false">IF(M506="prescription","Yes","No")</f>
        <v>No</v>
      </c>
      <c r="P506" s="6"/>
      <c r="Q506" s="6" t="s">
        <v>2357</v>
      </c>
    </row>
    <row r="507" customFormat="false" ht="15" hidden="false" customHeight="false" outlineLevel="0" collapsed="false">
      <c r="A507" s="6" t="s">
        <v>2358</v>
      </c>
      <c r="B507" s="6" t="s">
        <v>2359</v>
      </c>
      <c r="C507" s="6" t="s">
        <v>2191</v>
      </c>
      <c r="D507" s="6" t="s">
        <v>2264</v>
      </c>
      <c r="E507" s="6" t="s">
        <v>2178</v>
      </c>
      <c r="F507" s="6" t="s">
        <v>2179</v>
      </c>
      <c r="G507" s="6" t="s">
        <v>2180</v>
      </c>
      <c r="H507" s="7" t="n">
        <v>3</v>
      </c>
      <c r="I507" s="8" t="n">
        <v>1</v>
      </c>
      <c r="J507" s="9" t="n">
        <v>252.2</v>
      </c>
      <c r="K507" s="8" t="s">
        <v>35</v>
      </c>
      <c r="L507" s="10" t="s">
        <v>2103</v>
      </c>
      <c r="M507" s="10" t="s">
        <v>2181</v>
      </c>
      <c r="N507" s="10" t="s">
        <v>2182</v>
      </c>
      <c r="O507" s="8" t="str">
        <f aca="false">IF(M507="prescription","Yes","No")</f>
        <v>No</v>
      </c>
      <c r="P507" s="6"/>
      <c r="Q507" s="6" t="s">
        <v>2360</v>
      </c>
    </row>
    <row r="508" customFormat="false" ht="15" hidden="false" customHeight="false" outlineLevel="0" collapsed="false">
      <c r="A508" s="6" t="s">
        <v>2361</v>
      </c>
      <c r="B508" s="6" t="s">
        <v>2362</v>
      </c>
      <c r="C508" s="6" t="s">
        <v>2191</v>
      </c>
      <c r="D508" s="6" t="s">
        <v>2264</v>
      </c>
      <c r="E508" s="6" t="s">
        <v>2178</v>
      </c>
      <c r="F508" s="6" t="s">
        <v>2179</v>
      </c>
      <c r="G508" s="6" t="s">
        <v>2180</v>
      </c>
      <c r="H508" s="7" t="n">
        <v>5</v>
      </c>
      <c r="I508" s="8" t="n">
        <v>1</v>
      </c>
      <c r="J508" s="9" t="n">
        <v>252.2</v>
      </c>
      <c r="K508" s="8" t="s">
        <v>35</v>
      </c>
      <c r="L508" s="10" t="s">
        <v>2103</v>
      </c>
      <c r="M508" s="10" t="s">
        <v>2181</v>
      </c>
      <c r="N508" s="10" t="s">
        <v>2182</v>
      </c>
      <c r="O508" s="8" t="str">
        <f aca="false">IF(M508="prescription","Yes","No")</f>
        <v>No</v>
      </c>
      <c r="P508" s="6"/>
      <c r="Q508" s="6" t="s">
        <v>2363</v>
      </c>
    </row>
    <row r="509" customFormat="false" ht="15" hidden="false" customHeight="false" outlineLevel="0" collapsed="false">
      <c r="A509" s="6" t="s">
        <v>2364</v>
      </c>
      <c r="B509" s="6" t="s">
        <v>2365</v>
      </c>
      <c r="C509" s="6" t="s">
        <v>2191</v>
      </c>
      <c r="D509" s="6" t="s">
        <v>2264</v>
      </c>
      <c r="E509" s="6" t="s">
        <v>2178</v>
      </c>
      <c r="F509" s="6" t="s">
        <v>2179</v>
      </c>
      <c r="G509" s="6" t="s">
        <v>2180</v>
      </c>
      <c r="H509" s="7" t="n">
        <v>27</v>
      </c>
      <c r="I509" s="8" t="n">
        <v>1</v>
      </c>
      <c r="J509" s="9" t="n">
        <v>252.2</v>
      </c>
      <c r="K509" s="8" t="s">
        <v>35</v>
      </c>
      <c r="L509" s="10" t="s">
        <v>2103</v>
      </c>
      <c r="M509" s="10" t="s">
        <v>2181</v>
      </c>
      <c r="N509" s="10" t="s">
        <v>2182</v>
      </c>
      <c r="O509" s="8" t="str">
        <f aca="false">IF(M509="prescription","Yes","No")</f>
        <v>No</v>
      </c>
      <c r="P509" s="6"/>
      <c r="Q509" s="6" t="s">
        <v>2366</v>
      </c>
    </row>
    <row r="510" customFormat="false" ht="15" hidden="false" customHeight="false" outlineLevel="0" collapsed="false">
      <c r="A510" s="6" t="s">
        <v>2367</v>
      </c>
      <c r="B510" s="6" t="s">
        <v>2368</v>
      </c>
      <c r="C510" s="6" t="s">
        <v>2191</v>
      </c>
      <c r="D510" s="6" t="s">
        <v>2264</v>
      </c>
      <c r="E510" s="6" t="s">
        <v>2178</v>
      </c>
      <c r="F510" s="6" t="s">
        <v>2179</v>
      </c>
      <c r="G510" s="6" t="s">
        <v>2180</v>
      </c>
      <c r="H510" s="7" t="n">
        <v>23</v>
      </c>
      <c r="I510" s="8" t="n">
        <v>1</v>
      </c>
      <c r="J510" s="9" t="n">
        <v>252.2</v>
      </c>
      <c r="K510" s="8" t="s">
        <v>35</v>
      </c>
      <c r="L510" s="10" t="s">
        <v>2103</v>
      </c>
      <c r="M510" s="10" t="s">
        <v>2181</v>
      </c>
      <c r="N510" s="10" t="s">
        <v>2182</v>
      </c>
      <c r="O510" s="8" t="str">
        <f aca="false">IF(M510="prescription","Yes","No")</f>
        <v>No</v>
      </c>
      <c r="P510" s="6"/>
      <c r="Q510" s="6" t="s">
        <v>2369</v>
      </c>
    </row>
    <row r="511" customFormat="false" ht="15" hidden="false" customHeight="false" outlineLevel="0" collapsed="false">
      <c r="A511" s="6" t="s">
        <v>2370</v>
      </c>
      <c r="B511" s="6" t="s">
        <v>2371</v>
      </c>
      <c r="C511" s="6" t="s">
        <v>2259</v>
      </c>
      <c r="D511" s="6" t="s">
        <v>2372</v>
      </c>
      <c r="E511" s="6" t="s">
        <v>2178</v>
      </c>
      <c r="F511" s="6" t="s">
        <v>2179</v>
      </c>
      <c r="G511" s="6" t="s">
        <v>2180</v>
      </c>
      <c r="H511" s="7" t="n">
        <v>22</v>
      </c>
      <c r="I511" s="8" t="n">
        <v>1</v>
      </c>
      <c r="J511" s="9" t="n">
        <v>385.46</v>
      </c>
      <c r="K511" s="8" t="s">
        <v>35</v>
      </c>
      <c r="L511" s="10" t="s">
        <v>2103</v>
      </c>
      <c r="M511" s="10" t="s">
        <v>2181</v>
      </c>
      <c r="N511" s="10" t="s">
        <v>2182</v>
      </c>
      <c r="O511" s="8" t="str">
        <f aca="false">IF(M511="prescription","Yes","No")</f>
        <v>No</v>
      </c>
      <c r="P511" s="6"/>
      <c r="Q511" s="6" t="s">
        <v>2373</v>
      </c>
    </row>
    <row r="512" customFormat="false" ht="15" hidden="false" customHeight="false" outlineLevel="0" collapsed="false">
      <c r="A512" s="6" t="s">
        <v>2374</v>
      </c>
      <c r="B512" s="6" t="s">
        <v>2375</v>
      </c>
      <c r="C512" s="6" t="s">
        <v>2259</v>
      </c>
      <c r="D512" s="6" t="s">
        <v>2376</v>
      </c>
      <c r="E512" s="6" t="s">
        <v>2178</v>
      </c>
      <c r="F512" s="6" t="s">
        <v>2179</v>
      </c>
      <c r="G512" s="6" t="s">
        <v>2180</v>
      </c>
      <c r="H512" s="7" t="n">
        <v>20</v>
      </c>
      <c r="I512" s="8" t="n">
        <v>1</v>
      </c>
      <c r="J512" s="9" t="n">
        <v>190.26</v>
      </c>
      <c r="K512" s="8" t="s">
        <v>35</v>
      </c>
      <c r="L512" s="10" t="s">
        <v>2103</v>
      </c>
      <c r="M512" s="10" t="s">
        <v>2181</v>
      </c>
      <c r="N512" s="10" t="s">
        <v>2182</v>
      </c>
      <c r="O512" s="8" t="str">
        <f aca="false">IF(M512="prescription","Yes","No")</f>
        <v>No</v>
      </c>
      <c r="P512" s="6"/>
      <c r="Q512" s="6" t="s">
        <v>2377</v>
      </c>
    </row>
    <row r="513" customFormat="false" ht="15" hidden="false" customHeight="false" outlineLevel="0" collapsed="false">
      <c r="A513" s="6" t="s">
        <v>2378</v>
      </c>
      <c r="B513" s="6" t="s">
        <v>2379</v>
      </c>
      <c r="C513" s="6" t="s">
        <v>2191</v>
      </c>
      <c r="D513" s="6" t="s">
        <v>2214</v>
      </c>
      <c r="E513" s="6" t="s">
        <v>2178</v>
      </c>
      <c r="F513" s="6" t="s">
        <v>2179</v>
      </c>
      <c r="G513" s="6" t="s">
        <v>2180</v>
      </c>
      <c r="H513" s="7" t="n">
        <v>4</v>
      </c>
      <c r="I513" s="8" t="n">
        <v>1</v>
      </c>
      <c r="J513" s="9" t="n">
        <v>190.26</v>
      </c>
      <c r="K513" s="8" t="s">
        <v>35</v>
      </c>
      <c r="L513" s="10" t="s">
        <v>2103</v>
      </c>
      <c r="M513" s="10" t="s">
        <v>2181</v>
      </c>
      <c r="N513" s="10" t="s">
        <v>2182</v>
      </c>
      <c r="O513" s="8" t="str">
        <f aca="false">IF(M513="prescription","Yes","No")</f>
        <v>No</v>
      </c>
      <c r="P513" s="6"/>
      <c r="Q513" s="6" t="s">
        <v>2380</v>
      </c>
    </row>
    <row r="514" customFormat="false" ht="15" hidden="false" customHeight="false" outlineLevel="0" collapsed="false">
      <c r="A514" s="6" t="s">
        <v>2381</v>
      </c>
      <c r="B514" s="6" t="s">
        <v>2382</v>
      </c>
      <c r="C514" s="6" t="s">
        <v>2176</v>
      </c>
      <c r="D514" s="6" t="s">
        <v>2246</v>
      </c>
      <c r="E514" s="6"/>
      <c r="F514" s="6" t="s">
        <v>2179</v>
      </c>
      <c r="G514" s="6" t="s">
        <v>2180</v>
      </c>
      <c r="H514" s="7" t="n">
        <v>5</v>
      </c>
      <c r="I514" s="8" t="n">
        <v>1</v>
      </c>
      <c r="J514" s="9" t="n">
        <v>655.44</v>
      </c>
      <c r="K514" s="8" t="s">
        <v>35</v>
      </c>
      <c r="L514" s="10" t="s">
        <v>2103</v>
      </c>
      <c r="M514" s="10" t="s">
        <v>2181</v>
      </c>
      <c r="N514" s="10" t="s">
        <v>2182</v>
      </c>
      <c r="O514" s="8" t="str">
        <f aca="false">IF(M514="prescription","Yes","No")</f>
        <v>No</v>
      </c>
      <c r="P514" s="6"/>
      <c r="Q514" s="6" t="s">
        <v>2383</v>
      </c>
    </row>
    <row r="515" customFormat="false" ht="15" hidden="false" customHeight="false" outlineLevel="0" collapsed="false">
      <c r="A515" s="6" t="s">
        <v>2384</v>
      </c>
      <c r="B515" s="6" t="s">
        <v>2385</v>
      </c>
      <c r="C515" s="6" t="s">
        <v>2176</v>
      </c>
      <c r="D515" s="6" t="s">
        <v>2246</v>
      </c>
      <c r="E515" s="6"/>
      <c r="F515" s="6" t="s">
        <v>2179</v>
      </c>
      <c r="G515" s="6" t="s">
        <v>2180</v>
      </c>
      <c r="H515" s="7" t="n">
        <v>3</v>
      </c>
      <c r="I515" s="8" t="n">
        <v>1</v>
      </c>
      <c r="J515" s="9" t="n">
        <v>655.44</v>
      </c>
      <c r="K515" s="8" t="s">
        <v>35</v>
      </c>
      <c r="L515" s="10" t="s">
        <v>2103</v>
      </c>
      <c r="M515" s="10" t="s">
        <v>2181</v>
      </c>
      <c r="N515" s="10" t="s">
        <v>2182</v>
      </c>
      <c r="O515" s="8" t="str">
        <f aca="false">IF(M515="prescription","Yes","No")</f>
        <v>No</v>
      </c>
      <c r="P515" s="6"/>
      <c r="Q515" s="6" t="s">
        <v>2386</v>
      </c>
    </row>
    <row r="516" customFormat="false" ht="15" hidden="false" customHeight="false" outlineLevel="0" collapsed="false">
      <c r="A516" s="6" t="s">
        <v>2387</v>
      </c>
      <c r="B516" s="6" t="s">
        <v>2388</v>
      </c>
      <c r="C516" s="6" t="s">
        <v>2191</v>
      </c>
      <c r="D516" s="6" t="s">
        <v>2376</v>
      </c>
      <c r="E516" s="6"/>
      <c r="F516" s="6" t="s">
        <v>2179</v>
      </c>
      <c r="G516" s="6" t="s">
        <v>2180</v>
      </c>
      <c r="H516" s="7" t="n">
        <v>7</v>
      </c>
      <c r="I516" s="8" t="n">
        <v>1</v>
      </c>
      <c r="J516" s="9" t="n">
        <v>225.06</v>
      </c>
      <c r="K516" s="8" t="s">
        <v>35</v>
      </c>
      <c r="L516" s="10" t="s">
        <v>2103</v>
      </c>
      <c r="M516" s="10" t="s">
        <v>2181</v>
      </c>
      <c r="N516" s="10" t="s">
        <v>2182</v>
      </c>
      <c r="O516" s="8" t="str">
        <f aca="false">IF(M516="prescription","Yes","No")</f>
        <v>No</v>
      </c>
      <c r="P516" s="6"/>
      <c r="Q516" s="6" t="s">
        <v>2389</v>
      </c>
    </row>
    <row r="517" customFormat="false" ht="15" hidden="false" customHeight="false" outlineLevel="0" collapsed="false">
      <c r="A517" s="6" t="s">
        <v>2390</v>
      </c>
      <c r="B517" s="6" t="s">
        <v>2391</v>
      </c>
      <c r="C517" s="6" t="s">
        <v>2259</v>
      </c>
      <c r="D517" s="6" t="s">
        <v>2210</v>
      </c>
      <c r="E517" s="6" t="s">
        <v>2178</v>
      </c>
      <c r="F517" s="6" t="s">
        <v>2179</v>
      </c>
      <c r="G517" s="6" t="s">
        <v>2180</v>
      </c>
      <c r="H517" s="7" t="n">
        <v>10</v>
      </c>
      <c r="I517" s="8" t="n">
        <v>1</v>
      </c>
      <c r="J517" s="9" t="n">
        <v>840</v>
      </c>
      <c r="K517" s="8" t="s">
        <v>35</v>
      </c>
      <c r="L517" s="10" t="s">
        <v>2103</v>
      </c>
      <c r="M517" s="10" t="s">
        <v>2181</v>
      </c>
      <c r="N517" s="10" t="s">
        <v>2182</v>
      </c>
      <c r="O517" s="8" t="str">
        <f aca="false">IF(M517="prescription","Yes","No")</f>
        <v>No</v>
      </c>
      <c r="P517" s="6"/>
      <c r="Q517" s="6" t="s">
        <v>2392</v>
      </c>
    </row>
    <row r="518" customFormat="false" ht="15" hidden="false" customHeight="false" outlineLevel="0" collapsed="false">
      <c r="A518" s="6" t="s">
        <v>2393</v>
      </c>
      <c r="B518" s="6" t="s">
        <v>2394</v>
      </c>
      <c r="C518" s="6" t="s">
        <v>2259</v>
      </c>
      <c r="D518" s="6" t="s">
        <v>2210</v>
      </c>
      <c r="E518" s="6" t="s">
        <v>2178</v>
      </c>
      <c r="F518" s="6" t="s">
        <v>2179</v>
      </c>
      <c r="G518" s="6" t="s">
        <v>2180</v>
      </c>
      <c r="H518" s="7" t="n">
        <v>10</v>
      </c>
      <c r="I518" s="8" t="n">
        <v>1</v>
      </c>
      <c r="J518" s="9" t="n">
        <v>840</v>
      </c>
      <c r="K518" s="8" t="s">
        <v>35</v>
      </c>
      <c r="L518" s="10" t="s">
        <v>2103</v>
      </c>
      <c r="M518" s="10" t="s">
        <v>2181</v>
      </c>
      <c r="N518" s="10" t="s">
        <v>2182</v>
      </c>
      <c r="O518" s="8" t="str">
        <f aca="false">IF(M518="prescription","Yes","No")</f>
        <v>No</v>
      </c>
      <c r="P518" s="6"/>
      <c r="Q518" s="6" t="s">
        <v>2395</v>
      </c>
    </row>
    <row r="519" customFormat="false" ht="15" hidden="false" customHeight="false" outlineLevel="0" collapsed="false">
      <c r="A519" s="6" t="s">
        <v>2396</v>
      </c>
      <c r="B519" s="6" t="s">
        <v>2397</v>
      </c>
      <c r="C519" s="6" t="s">
        <v>2259</v>
      </c>
      <c r="D519" s="6" t="s">
        <v>2210</v>
      </c>
      <c r="E519" s="6" t="s">
        <v>2178</v>
      </c>
      <c r="F519" s="6" t="s">
        <v>2179</v>
      </c>
      <c r="G519" s="6" t="s">
        <v>2180</v>
      </c>
      <c r="H519" s="7" t="n">
        <v>2</v>
      </c>
      <c r="I519" s="8" t="n">
        <v>1</v>
      </c>
      <c r="J519" s="9" t="n">
        <v>840</v>
      </c>
      <c r="K519" s="8" t="s">
        <v>35</v>
      </c>
      <c r="L519" s="10" t="s">
        <v>2103</v>
      </c>
      <c r="M519" s="10" t="s">
        <v>2181</v>
      </c>
      <c r="N519" s="10" t="s">
        <v>2182</v>
      </c>
      <c r="O519" s="8" t="str">
        <f aca="false">IF(M519="prescription","Yes","No")</f>
        <v>No</v>
      </c>
      <c r="P519" s="6"/>
      <c r="Q519" s="6" t="s">
        <v>2398</v>
      </c>
    </row>
    <row r="520" customFormat="false" ht="15" hidden="false" customHeight="false" outlineLevel="0" collapsed="false">
      <c r="A520" s="6" t="s">
        <v>2399</v>
      </c>
      <c r="B520" s="6" t="s">
        <v>2400</v>
      </c>
      <c r="C520" s="6" t="s">
        <v>2259</v>
      </c>
      <c r="D520" s="6" t="s">
        <v>2210</v>
      </c>
      <c r="E520" s="6" t="s">
        <v>2178</v>
      </c>
      <c r="F520" s="6" t="s">
        <v>2179</v>
      </c>
      <c r="G520" s="6" t="s">
        <v>2180</v>
      </c>
      <c r="H520" s="7" t="n">
        <v>10</v>
      </c>
      <c r="I520" s="8" t="n">
        <v>1</v>
      </c>
      <c r="J520" s="9" t="n">
        <v>840</v>
      </c>
      <c r="K520" s="8" t="s">
        <v>35</v>
      </c>
      <c r="L520" s="10" t="s">
        <v>2103</v>
      </c>
      <c r="M520" s="10" t="s">
        <v>2181</v>
      </c>
      <c r="N520" s="10" t="s">
        <v>2182</v>
      </c>
      <c r="O520" s="8" t="str">
        <f aca="false">IF(M520="prescription","Yes","No")</f>
        <v>No</v>
      </c>
      <c r="P520" s="6"/>
      <c r="Q520" s="6" t="s">
        <v>2401</v>
      </c>
    </row>
    <row r="521" customFormat="false" ht="15" hidden="false" customHeight="false" outlineLevel="0" collapsed="false">
      <c r="A521" s="6" t="s">
        <v>2402</v>
      </c>
      <c r="B521" s="6" t="s">
        <v>2403</v>
      </c>
      <c r="C521" s="6" t="s">
        <v>2259</v>
      </c>
      <c r="D521" s="6" t="s">
        <v>2210</v>
      </c>
      <c r="E521" s="6" t="s">
        <v>2178</v>
      </c>
      <c r="F521" s="6" t="s">
        <v>2179</v>
      </c>
      <c r="G521" s="6" t="s">
        <v>2180</v>
      </c>
      <c r="H521" s="7" t="n">
        <v>10</v>
      </c>
      <c r="I521" s="8" t="n">
        <v>1</v>
      </c>
      <c r="J521" s="9" t="n">
        <v>840</v>
      </c>
      <c r="K521" s="8" t="s">
        <v>35</v>
      </c>
      <c r="L521" s="10" t="s">
        <v>2103</v>
      </c>
      <c r="M521" s="10" t="s">
        <v>2181</v>
      </c>
      <c r="N521" s="10" t="s">
        <v>2182</v>
      </c>
      <c r="O521" s="8" t="str">
        <f aca="false">IF(M521="prescription","Yes","No")</f>
        <v>No</v>
      </c>
      <c r="P521" s="6"/>
      <c r="Q521" s="6" t="s">
        <v>2404</v>
      </c>
    </row>
    <row r="522" customFormat="false" ht="15" hidden="false" customHeight="false" outlineLevel="0" collapsed="false">
      <c r="A522" s="6" t="s">
        <v>2405</v>
      </c>
      <c r="B522" s="6" t="s">
        <v>2406</v>
      </c>
      <c r="C522" s="6" t="s">
        <v>2191</v>
      </c>
      <c r="D522" s="6" t="s">
        <v>2316</v>
      </c>
      <c r="E522" s="6" t="s">
        <v>2178</v>
      </c>
      <c r="F522" s="6" t="s">
        <v>2179</v>
      </c>
      <c r="G522" s="6" t="s">
        <v>2180</v>
      </c>
      <c r="H522" s="7" t="n">
        <v>7</v>
      </c>
      <c r="I522" s="8" t="n">
        <v>1</v>
      </c>
      <c r="J522" s="9" t="n">
        <v>252.2</v>
      </c>
      <c r="K522" s="8" t="s">
        <v>35</v>
      </c>
      <c r="L522" s="10" t="s">
        <v>2103</v>
      </c>
      <c r="M522" s="10" t="s">
        <v>2181</v>
      </c>
      <c r="N522" s="10" t="s">
        <v>2182</v>
      </c>
      <c r="O522" s="8" t="str">
        <f aca="false">IF(M522="prescription","Yes","No")</f>
        <v>No</v>
      </c>
      <c r="P522" s="6"/>
      <c r="Q522" s="6" t="s">
        <v>2407</v>
      </c>
    </row>
    <row r="523" customFormat="false" ht="15" hidden="false" customHeight="false" outlineLevel="0" collapsed="false">
      <c r="A523" s="6" t="s">
        <v>2408</v>
      </c>
      <c r="B523" s="6" t="s">
        <v>2409</v>
      </c>
      <c r="C523" s="6" t="s">
        <v>2191</v>
      </c>
      <c r="D523" s="6" t="s">
        <v>2316</v>
      </c>
      <c r="E523" s="6" t="s">
        <v>2178</v>
      </c>
      <c r="F523" s="6" t="s">
        <v>2179</v>
      </c>
      <c r="G523" s="6" t="s">
        <v>2180</v>
      </c>
      <c r="H523" s="7" t="n">
        <v>6</v>
      </c>
      <c r="I523" s="8" t="n">
        <v>1</v>
      </c>
      <c r="J523" s="9" t="n">
        <v>190.26</v>
      </c>
      <c r="K523" s="8" t="s">
        <v>35</v>
      </c>
      <c r="L523" s="10" t="s">
        <v>2103</v>
      </c>
      <c r="M523" s="10" t="s">
        <v>2181</v>
      </c>
      <c r="N523" s="10" t="s">
        <v>2182</v>
      </c>
      <c r="O523" s="8" t="str">
        <f aca="false">IF(M523="prescription","Yes","No")</f>
        <v>No</v>
      </c>
      <c r="P523" s="6"/>
      <c r="Q523" s="6" t="s">
        <v>2410</v>
      </c>
    </row>
    <row r="524" customFormat="false" ht="15" hidden="false" customHeight="false" outlineLevel="0" collapsed="false">
      <c r="A524" s="6" t="s">
        <v>2411</v>
      </c>
      <c r="B524" s="6" t="s">
        <v>2412</v>
      </c>
      <c r="C524" s="6" t="s">
        <v>2413</v>
      </c>
      <c r="D524" s="6" t="s">
        <v>2246</v>
      </c>
      <c r="E524" s="6"/>
      <c r="F524" s="6" t="s">
        <v>2179</v>
      </c>
      <c r="G524" s="6" t="s">
        <v>2180</v>
      </c>
      <c r="H524" s="7" t="n">
        <v>2</v>
      </c>
      <c r="I524" s="8" t="n">
        <v>1</v>
      </c>
      <c r="J524" s="9" t="n">
        <v>269.43</v>
      </c>
      <c r="K524" s="8" t="s">
        <v>35</v>
      </c>
      <c r="L524" s="10" t="s">
        <v>2103</v>
      </c>
      <c r="M524" s="10" t="s">
        <v>2181</v>
      </c>
      <c r="N524" s="10" t="s">
        <v>2182</v>
      </c>
      <c r="O524" s="8" t="str">
        <f aca="false">IF(M524="prescription","Yes","No")</f>
        <v>No</v>
      </c>
      <c r="P524" s="6"/>
      <c r="Q524" s="6" t="s">
        <v>2414</v>
      </c>
    </row>
    <row r="525" customFormat="false" ht="15" hidden="false" customHeight="false" outlineLevel="0" collapsed="false">
      <c r="A525" s="6" t="s">
        <v>2415</v>
      </c>
      <c r="B525" s="6" t="s">
        <v>2416</v>
      </c>
      <c r="C525" s="6" t="s">
        <v>2413</v>
      </c>
      <c r="D525" s="6" t="s">
        <v>2246</v>
      </c>
      <c r="E525" s="6"/>
      <c r="F525" s="6" t="s">
        <v>2179</v>
      </c>
      <c r="G525" s="6" t="s">
        <v>2180</v>
      </c>
      <c r="H525" s="7" t="n">
        <v>1</v>
      </c>
      <c r="I525" s="8" t="n">
        <v>1</v>
      </c>
      <c r="J525" s="9" t="n">
        <v>269.43</v>
      </c>
      <c r="K525" s="8" t="s">
        <v>35</v>
      </c>
      <c r="L525" s="10" t="s">
        <v>2103</v>
      </c>
      <c r="M525" s="10" t="s">
        <v>2181</v>
      </c>
      <c r="N525" s="10" t="s">
        <v>2182</v>
      </c>
      <c r="O525" s="8" t="str">
        <f aca="false">IF(M525="prescription","Yes","No")</f>
        <v>No</v>
      </c>
      <c r="P525" s="6"/>
      <c r="Q525" s="6" t="s">
        <v>2417</v>
      </c>
    </row>
    <row r="526" customFormat="false" ht="15" hidden="false" customHeight="false" outlineLevel="0" collapsed="false">
      <c r="A526" s="6" t="s">
        <v>2418</v>
      </c>
      <c r="B526" s="6" t="s">
        <v>2419</v>
      </c>
      <c r="C526" s="6" t="s">
        <v>2413</v>
      </c>
      <c r="D526" s="6" t="s">
        <v>2246</v>
      </c>
      <c r="E526" s="6"/>
      <c r="F526" s="6" t="s">
        <v>2179</v>
      </c>
      <c r="G526" s="6" t="s">
        <v>2180</v>
      </c>
      <c r="H526" s="7" t="n">
        <v>8</v>
      </c>
      <c r="I526" s="8" t="n">
        <v>1</v>
      </c>
      <c r="J526" s="9" t="n">
        <v>269.43</v>
      </c>
      <c r="K526" s="8" t="s">
        <v>35</v>
      </c>
      <c r="L526" s="10" t="s">
        <v>2103</v>
      </c>
      <c r="M526" s="10" t="s">
        <v>2181</v>
      </c>
      <c r="N526" s="10" t="s">
        <v>2182</v>
      </c>
      <c r="O526" s="8" t="str">
        <f aca="false">IF(M526="prescription","Yes","No")</f>
        <v>No</v>
      </c>
      <c r="P526" s="6"/>
      <c r="Q526" s="6" t="s">
        <v>2420</v>
      </c>
    </row>
    <row r="527" customFormat="false" ht="15" hidden="false" customHeight="false" outlineLevel="0" collapsed="false">
      <c r="A527" s="6" t="s">
        <v>2421</v>
      </c>
      <c r="B527" s="6" t="s">
        <v>2422</v>
      </c>
      <c r="C527" s="6" t="s">
        <v>2413</v>
      </c>
      <c r="D527" s="6" t="s">
        <v>2246</v>
      </c>
      <c r="E527" s="6"/>
      <c r="F527" s="6" t="s">
        <v>2179</v>
      </c>
      <c r="G527" s="6" t="s">
        <v>2180</v>
      </c>
      <c r="H527" s="7" t="n">
        <v>5</v>
      </c>
      <c r="I527" s="8" t="n">
        <v>1</v>
      </c>
      <c r="J527" s="9" t="n">
        <v>269.43</v>
      </c>
      <c r="K527" s="8" t="s">
        <v>35</v>
      </c>
      <c r="L527" s="10" t="s">
        <v>2103</v>
      </c>
      <c r="M527" s="10" t="s">
        <v>2181</v>
      </c>
      <c r="N527" s="10" t="s">
        <v>2182</v>
      </c>
      <c r="O527" s="8" t="str">
        <f aca="false">IF(M527="prescription","Yes","No")</f>
        <v>No</v>
      </c>
      <c r="P527" s="6"/>
      <c r="Q527" s="6" t="s">
        <v>2423</v>
      </c>
    </row>
    <row r="528" customFormat="false" ht="15" hidden="false" customHeight="false" outlineLevel="0" collapsed="false">
      <c r="A528" s="6" t="s">
        <v>2424</v>
      </c>
      <c r="B528" s="6" t="s">
        <v>2425</v>
      </c>
      <c r="C528" s="6" t="s">
        <v>2259</v>
      </c>
      <c r="D528" s="6" t="s">
        <v>2425</v>
      </c>
      <c r="E528" s="6"/>
      <c r="F528" s="6" t="s">
        <v>2179</v>
      </c>
      <c r="G528" s="6" t="s">
        <v>2180</v>
      </c>
      <c r="H528" s="7" t="n">
        <v>39</v>
      </c>
      <c r="I528" s="8" t="n">
        <v>1</v>
      </c>
      <c r="J528" s="9" t="n">
        <v>676.42</v>
      </c>
      <c r="K528" s="8" t="s">
        <v>35</v>
      </c>
      <c r="L528" s="10" t="s">
        <v>2103</v>
      </c>
      <c r="M528" s="10" t="s">
        <v>2181</v>
      </c>
      <c r="N528" s="10" t="s">
        <v>2182</v>
      </c>
      <c r="O528" s="8" t="str">
        <f aca="false">IF(M528="prescription","Yes","No")</f>
        <v>No</v>
      </c>
      <c r="P528" s="6"/>
      <c r="Q528" s="6" t="s">
        <v>2426</v>
      </c>
    </row>
    <row r="529" customFormat="false" ht="15" hidden="false" customHeight="false" outlineLevel="0" collapsed="false">
      <c r="A529" s="6" t="s">
        <v>2427</v>
      </c>
      <c r="B529" s="6" t="s">
        <v>2428</v>
      </c>
      <c r="C529" s="6" t="s">
        <v>677</v>
      </c>
      <c r="D529" s="6" t="s">
        <v>2316</v>
      </c>
      <c r="E529" s="6" t="s">
        <v>2178</v>
      </c>
      <c r="F529" s="6" t="s">
        <v>2179</v>
      </c>
      <c r="G529" s="6" t="s">
        <v>2180</v>
      </c>
      <c r="H529" s="7" t="n">
        <v>3</v>
      </c>
      <c r="I529" s="8" t="n">
        <v>1</v>
      </c>
      <c r="J529" s="9" t="n">
        <v>190.26</v>
      </c>
      <c r="K529" s="8" t="s">
        <v>35</v>
      </c>
      <c r="L529" s="10" t="s">
        <v>2103</v>
      </c>
      <c r="M529" s="10" t="s">
        <v>2181</v>
      </c>
      <c r="N529" s="10" t="s">
        <v>2182</v>
      </c>
      <c r="O529" s="8" t="str">
        <f aca="false">IF(M529="prescription","Yes","No")</f>
        <v>No</v>
      </c>
      <c r="P529" s="6"/>
      <c r="Q529" s="6" t="s">
        <v>2429</v>
      </c>
    </row>
    <row r="530" customFormat="false" ht="15" hidden="false" customHeight="false" outlineLevel="0" collapsed="false">
      <c r="A530" s="6" t="s">
        <v>2430</v>
      </c>
      <c r="B530" s="6" t="s">
        <v>2431</v>
      </c>
      <c r="C530" s="6" t="s">
        <v>2176</v>
      </c>
      <c r="D530" s="6" t="s">
        <v>2187</v>
      </c>
      <c r="E530" s="6" t="s">
        <v>2178</v>
      </c>
      <c r="F530" s="6" t="s">
        <v>2179</v>
      </c>
      <c r="G530" s="6" t="s">
        <v>2180</v>
      </c>
      <c r="H530" s="7" t="n">
        <v>6</v>
      </c>
      <c r="I530" s="8" t="n">
        <v>1</v>
      </c>
      <c r="J530" s="9" t="n">
        <v>478.01</v>
      </c>
      <c r="K530" s="8" t="s">
        <v>35</v>
      </c>
      <c r="L530" s="10" t="s">
        <v>2103</v>
      </c>
      <c r="M530" s="10" t="s">
        <v>2181</v>
      </c>
      <c r="N530" s="10" t="s">
        <v>2182</v>
      </c>
      <c r="O530" s="8" t="str">
        <f aca="false">IF(M530="prescription","Yes","No")</f>
        <v>No</v>
      </c>
      <c r="P530" s="6"/>
      <c r="Q530" s="6" t="s">
        <v>2432</v>
      </c>
    </row>
    <row r="531" customFormat="false" ht="15" hidden="false" customHeight="false" outlineLevel="0" collapsed="false">
      <c r="A531" s="6" t="s">
        <v>2433</v>
      </c>
      <c r="B531" s="6" t="s">
        <v>2434</v>
      </c>
      <c r="C531" s="6" t="s">
        <v>2176</v>
      </c>
      <c r="D531" s="6" t="s">
        <v>2187</v>
      </c>
      <c r="E531" s="6" t="s">
        <v>2178</v>
      </c>
      <c r="F531" s="6" t="s">
        <v>2179</v>
      </c>
      <c r="G531" s="6" t="s">
        <v>2180</v>
      </c>
      <c r="H531" s="7" t="n">
        <v>6</v>
      </c>
      <c r="I531" s="8" t="n">
        <v>1</v>
      </c>
      <c r="J531" s="9" t="n">
        <v>478.01</v>
      </c>
      <c r="K531" s="8" t="s">
        <v>35</v>
      </c>
      <c r="L531" s="10" t="s">
        <v>2103</v>
      </c>
      <c r="M531" s="10" t="s">
        <v>2181</v>
      </c>
      <c r="N531" s="10" t="s">
        <v>2182</v>
      </c>
      <c r="O531" s="8" t="str">
        <f aca="false">IF(M531="prescription","Yes","No")</f>
        <v>No</v>
      </c>
      <c r="P531" s="6"/>
      <c r="Q531" s="6" t="s">
        <v>2435</v>
      </c>
    </row>
    <row r="532" customFormat="false" ht="15" hidden="false" customHeight="false" outlineLevel="0" collapsed="false">
      <c r="A532" s="6" t="s">
        <v>2436</v>
      </c>
      <c r="B532" s="6" t="s">
        <v>2437</v>
      </c>
      <c r="C532" s="6" t="s">
        <v>2176</v>
      </c>
      <c r="D532" s="6" t="s">
        <v>2187</v>
      </c>
      <c r="E532" s="6" t="s">
        <v>2178</v>
      </c>
      <c r="F532" s="6" t="s">
        <v>2179</v>
      </c>
      <c r="G532" s="6" t="s">
        <v>2180</v>
      </c>
      <c r="H532" s="7" t="n">
        <v>3</v>
      </c>
      <c r="I532" s="8" t="n">
        <v>1</v>
      </c>
      <c r="J532" s="9" t="n">
        <v>478.01</v>
      </c>
      <c r="K532" s="8" t="s">
        <v>35</v>
      </c>
      <c r="L532" s="10" t="s">
        <v>2103</v>
      </c>
      <c r="M532" s="10" t="s">
        <v>2181</v>
      </c>
      <c r="N532" s="10" t="s">
        <v>2182</v>
      </c>
      <c r="O532" s="8" t="str">
        <f aca="false">IF(M532="prescription","Yes","No")</f>
        <v>No</v>
      </c>
      <c r="P532" s="6"/>
      <c r="Q532" s="6" t="s">
        <v>2438</v>
      </c>
    </row>
    <row r="533" customFormat="false" ht="15" hidden="false" customHeight="false" outlineLevel="0" collapsed="false">
      <c r="A533" s="6" t="s">
        <v>2439</v>
      </c>
      <c r="B533" s="6" t="s">
        <v>2440</v>
      </c>
      <c r="C533" s="6"/>
      <c r="D533" s="6" t="s">
        <v>2441</v>
      </c>
      <c r="E533" s="6" t="s">
        <v>48</v>
      </c>
      <c r="F533" s="6" t="s">
        <v>2179</v>
      </c>
      <c r="G533" s="6" t="s">
        <v>2442</v>
      </c>
      <c r="H533" s="7" t="n">
        <v>56</v>
      </c>
      <c r="I533" s="8" t="n">
        <v>1</v>
      </c>
      <c r="J533" s="9" t="n">
        <v>11.95</v>
      </c>
      <c r="K533" s="8" t="s">
        <v>35</v>
      </c>
      <c r="L533" s="10" t="s">
        <v>2103</v>
      </c>
      <c r="M533" s="10" t="s">
        <v>2181</v>
      </c>
      <c r="N533" s="10" t="s">
        <v>2443</v>
      </c>
      <c r="O533" s="8" t="str">
        <f aca="false">IF(M533="prescription","Yes","No")</f>
        <v>No</v>
      </c>
      <c r="P533" s="6"/>
      <c r="Q533" s="6" t="s">
        <v>2444</v>
      </c>
    </row>
    <row r="534" customFormat="false" ht="15" hidden="false" customHeight="false" outlineLevel="0" collapsed="false">
      <c r="A534" s="6" t="s">
        <v>2445</v>
      </c>
      <c r="B534" s="6" t="s">
        <v>2446</v>
      </c>
      <c r="C534" s="6"/>
      <c r="D534" s="6" t="s">
        <v>2441</v>
      </c>
      <c r="E534" s="6" t="s">
        <v>48</v>
      </c>
      <c r="F534" s="6" t="s">
        <v>2179</v>
      </c>
      <c r="G534" s="6" t="s">
        <v>2442</v>
      </c>
      <c r="H534" s="7" t="n">
        <v>157</v>
      </c>
      <c r="I534" s="8" t="n">
        <v>1</v>
      </c>
      <c r="J534" s="9" t="n">
        <v>19.86</v>
      </c>
      <c r="K534" s="8" t="s">
        <v>35</v>
      </c>
      <c r="L534" s="10" t="s">
        <v>2103</v>
      </c>
      <c r="M534" s="10" t="s">
        <v>2181</v>
      </c>
      <c r="N534" s="10" t="s">
        <v>2443</v>
      </c>
      <c r="O534" s="8" t="str">
        <f aca="false">IF(M534="prescription","Yes","No")</f>
        <v>No</v>
      </c>
      <c r="P534" s="6"/>
      <c r="Q534" s="6" t="s">
        <v>2447</v>
      </c>
    </row>
    <row r="535" customFormat="false" ht="15" hidden="false" customHeight="false" outlineLevel="0" collapsed="false">
      <c r="A535" s="6" t="s">
        <v>2448</v>
      </c>
      <c r="B535" s="6" t="s">
        <v>2449</v>
      </c>
      <c r="C535" s="6" t="s">
        <v>59</v>
      </c>
      <c r="D535" s="6" t="s">
        <v>2450</v>
      </c>
      <c r="E535" s="6" t="s">
        <v>61</v>
      </c>
      <c r="F535" s="6" t="s">
        <v>2137</v>
      </c>
      <c r="G535" s="6" t="s">
        <v>2451</v>
      </c>
      <c r="H535" s="7" t="n">
        <v>4</v>
      </c>
      <c r="I535" s="8" t="n">
        <v>1</v>
      </c>
      <c r="J535" s="9" t="n">
        <v>285.46</v>
      </c>
      <c r="K535" s="8" t="s">
        <v>35</v>
      </c>
      <c r="L535" s="10" t="s">
        <v>2103</v>
      </c>
      <c r="M535" s="10" t="s">
        <v>2452</v>
      </c>
      <c r="N535" s="10" t="s">
        <v>2453</v>
      </c>
      <c r="O535" s="8" t="str">
        <f aca="false">IF(M535="prescription","Yes","No")</f>
        <v>No</v>
      </c>
      <c r="P535" s="6"/>
      <c r="Q535" s="6" t="s">
        <v>2454</v>
      </c>
    </row>
    <row r="536" customFormat="false" ht="15" hidden="false" customHeight="false" outlineLevel="0" collapsed="false">
      <c r="A536" s="6" t="s">
        <v>2455</v>
      </c>
      <c r="B536" s="6" t="s">
        <v>2456</v>
      </c>
      <c r="C536" s="6" t="s">
        <v>59</v>
      </c>
      <c r="D536" s="6" t="s">
        <v>2450</v>
      </c>
      <c r="E536" s="6" t="s">
        <v>61</v>
      </c>
      <c r="F536" s="6" t="s">
        <v>2137</v>
      </c>
      <c r="G536" s="6" t="s">
        <v>2451</v>
      </c>
      <c r="H536" s="7" t="n">
        <v>36</v>
      </c>
      <c r="I536" s="8" t="n">
        <v>1</v>
      </c>
      <c r="J536" s="9" t="n">
        <v>269.43</v>
      </c>
      <c r="K536" s="8" t="s">
        <v>35</v>
      </c>
      <c r="L536" s="10" t="s">
        <v>2103</v>
      </c>
      <c r="M536" s="10" t="s">
        <v>2452</v>
      </c>
      <c r="N536" s="10" t="s">
        <v>2453</v>
      </c>
      <c r="O536" s="8" t="str">
        <f aca="false">IF(M536="prescription","Yes","No")</f>
        <v>No</v>
      </c>
      <c r="P536" s="6"/>
      <c r="Q536" s="6" t="s">
        <v>2457</v>
      </c>
    </row>
    <row r="537" customFormat="false" ht="15" hidden="false" customHeight="false" outlineLevel="0" collapsed="false">
      <c r="A537" s="6" t="s">
        <v>2458</v>
      </c>
      <c r="B537" s="6" t="s">
        <v>2459</v>
      </c>
      <c r="C537" s="6" t="s">
        <v>59</v>
      </c>
      <c r="D537" s="6" t="s">
        <v>2460</v>
      </c>
      <c r="E537" s="6" t="s">
        <v>61</v>
      </c>
      <c r="F537" s="6" t="s">
        <v>2137</v>
      </c>
      <c r="G537" s="6" t="s">
        <v>2451</v>
      </c>
      <c r="H537" s="7" t="n">
        <v>47</v>
      </c>
      <c r="I537" s="8" t="n">
        <v>1</v>
      </c>
      <c r="J537" s="9" t="n">
        <v>64.04</v>
      </c>
      <c r="K537" s="8" t="s">
        <v>35</v>
      </c>
      <c r="L537" s="10" t="s">
        <v>2103</v>
      </c>
      <c r="M537" s="10" t="s">
        <v>2452</v>
      </c>
      <c r="N537" s="10" t="s">
        <v>2453</v>
      </c>
      <c r="O537" s="8" t="str">
        <f aca="false">IF(M537="prescription","Yes","No")</f>
        <v>No</v>
      </c>
      <c r="P537" s="6"/>
      <c r="Q537" s="6" t="s">
        <v>2461</v>
      </c>
    </row>
    <row r="538" customFormat="false" ht="15" hidden="false" customHeight="false" outlineLevel="0" collapsed="false">
      <c r="A538" s="6" t="s">
        <v>2462</v>
      </c>
      <c r="B538" s="6" t="s">
        <v>2463</v>
      </c>
      <c r="C538" s="6" t="s">
        <v>59</v>
      </c>
      <c r="D538" s="6" t="s">
        <v>2460</v>
      </c>
      <c r="E538" s="6" t="s">
        <v>61</v>
      </c>
      <c r="F538" s="6" t="s">
        <v>2137</v>
      </c>
      <c r="G538" s="6" t="s">
        <v>2451</v>
      </c>
      <c r="H538" s="7" t="n">
        <v>245</v>
      </c>
      <c r="I538" s="8" t="n">
        <v>1</v>
      </c>
      <c r="J538" s="9" t="n">
        <v>201.86</v>
      </c>
      <c r="K538" s="8" t="s">
        <v>35</v>
      </c>
      <c r="L538" s="10" t="s">
        <v>2103</v>
      </c>
      <c r="M538" s="10" t="s">
        <v>2452</v>
      </c>
      <c r="N538" s="10" t="s">
        <v>2453</v>
      </c>
      <c r="O538" s="8" t="str">
        <f aca="false">IF(M538="prescription","Yes","No")</f>
        <v>No</v>
      </c>
      <c r="P538" s="6"/>
      <c r="Q538" s="6" t="s">
        <v>2464</v>
      </c>
    </row>
    <row r="539" customFormat="false" ht="15" hidden="false" customHeight="false" outlineLevel="0" collapsed="false">
      <c r="A539" s="6" t="s">
        <v>2465</v>
      </c>
      <c r="B539" s="6" t="s">
        <v>2466</v>
      </c>
      <c r="C539" s="6" t="s">
        <v>59</v>
      </c>
      <c r="D539" s="6" t="s">
        <v>2450</v>
      </c>
      <c r="E539" s="6" t="s">
        <v>61</v>
      </c>
      <c r="F539" s="6" t="s">
        <v>2137</v>
      </c>
      <c r="G539" s="6" t="s">
        <v>2451</v>
      </c>
      <c r="H539" s="7" t="n">
        <v>257</v>
      </c>
      <c r="I539" s="8" t="n">
        <v>1</v>
      </c>
      <c r="J539" s="9" t="n">
        <v>58.7</v>
      </c>
      <c r="K539" s="8" t="s">
        <v>35</v>
      </c>
      <c r="L539" s="10" t="s">
        <v>2103</v>
      </c>
      <c r="M539" s="10" t="s">
        <v>2452</v>
      </c>
      <c r="N539" s="10" t="s">
        <v>2453</v>
      </c>
      <c r="O539" s="8" t="str">
        <f aca="false">IF(M539="prescription","Yes","No")</f>
        <v>No</v>
      </c>
      <c r="P539" s="6"/>
      <c r="Q539" s="6" t="s">
        <v>2467</v>
      </c>
    </row>
    <row r="540" customFormat="false" ht="15" hidden="false" customHeight="false" outlineLevel="0" collapsed="false">
      <c r="A540" s="6" t="s">
        <v>2468</v>
      </c>
      <c r="B540" s="6" t="s">
        <v>2469</v>
      </c>
      <c r="C540" s="6" t="s">
        <v>59</v>
      </c>
      <c r="D540" s="6" t="s">
        <v>2450</v>
      </c>
      <c r="E540" s="6" t="s">
        <v>61</v>
      </c>
      <c r="F540" s="6" t="s">
        <v>2137</v>
      </c>
      <c r="G540" s="6" t="s">
        <v>2451</v>
      </c>
      <c r="H540" s="7" t="n">
        <v>271</v>
      </c>
      <c r="I540" s="8" t="n">
        <v>1</v>
      </c>
      <c r="J540" s="9" t="n">
        <v>185.95</v>
      </c>
      <c r="K540" s="8" t="s">
        <v>35</v>
      </c>
      <c r="L540" s="10" t="s">
        <v>2103</v>
      </c>
      <c r="M540" s="10" t="s">
        <v>2452</v>
      </c>
      <c r="N540" s="10" t="s">
        <v>2453</v>
      </c>
      <c r="O540" s="8" t="str">
        <f aca="false">IF(M540="prescription","Yes","No")</f>
        <v>No</v>
      </c>
      <c r="P540" s="6"/>
      <c r="Q540" s="6" t="s">
        <v>2470</v>
      </c>
    </row>
    <row r="541" customFormat="false" ht="15" hidden="false" customHeight="false" outlineLevel="0" collapsed="false">
      <c r="A541" s="6" t="s">
        <v>2471</v>
      </c>
      <c r="B541" s="6" t="s">
        <v>2472</v>
      </c>
      <c r="C541" s="6" t="s">
        <v>59</v>
      </c>
      <c r="D541" s="6" t="s">
        <v>2450</v>
      </c>
      <c r="E541" s="6" t="s">
        <v>61</v>
      </c>
      <c r="F541" s="6" t="s">
        <v>2137</v>
      </c>
      <c r="G541" s="6" t="s">
        <v>2451</v>
      </c>
      <c r="H541" s="7" t="n">
        <v>5</v>
      </c>
      <c r="I541" s="8" t="n">
        <v>1</v>
      </c>
      <c r="J541" s="9" t="n">
        <v>347.51</v>
      </c>
      <c r="K541" s="8" t="s">
        <v>35</v>
      </c>
      <c r="L541" s="10" t="s">
        <v>2103</v>
      </c>
      <c r="M541" s="10" t="s">
        <v>2452</v>
      </c>
      <c r="N541" s="10" t="s">
        <v>2453</v>
      </c>
      <c r="O541" s="8" t="str">
        <f aca="false">IF(M541="prescription","Yes","No")</f>
        <v>No</v>
      </c>
      <c r="P541" s="6"/>
      <c r="Q541" s="6" t="s">
        <v>2473</v>
      </c>
    </row>
    <row r="542" customFormat="false" ht="15" hidden="false" customHeight="false" outlineLevel="0" collapsed="false">
      <c r="A542" s="6" t="s">
        <v>2474</v>
      </c>
      <c r="B542" s="6" t="s">
        <v>2475</v>
      </c>
      <c r="C542" s="6" t="s">
        <v>59</v>
      </c>
      <c r="D542" s="6" t="s">
        <v>2450</v>
      </c>
      <c r="E542" s="6" t="s">
        <v>61</v>
      </c>
      <c r="F542" s="6" t="s">
        <v>2137</v>
      </c>
      <c r="G542" s="6" t="s">
        <v>2451</v>
      </c>
      <c r="H542" s="7" t="n">
        <v>300</v>
      </c>
      <c r="I542" s="8" t="n">
        <v>1</v>
      </c>
      <c r="J542" s="9" t="n">
        <v>87.07</v>
      </c>
      <c r="K542" s="8" t="s">
        <v>35</v>
      </c>
      <c r="L542" s="10" t="s">
        <v>2103</v>
      </c>
      <c r="M542" s="10" t="s">
        <v>2452</v>
      </c>
      <c r="N542" s="10" t="s">
        <v>2453</v>
      </c>
      <c r="O542" s="8" t="str">
        <f aca="false">IF(M542="prescription","Yes","No")</f>
        <v>No</v>
      </c>
      <c r="P542" s="6"/>
      <c r="Q542" s="6" t="s">
        <v>2476</v>
      </c>
    </row>
    <row r="543" customFormat="false" ht="15" hidden="false" customHeight="false" outlineLevel="0" collapsed="false">
      <c r="A543" s="6" t="s">
        <v>2477</v>
      </c>
      <c r="B543" s="6" t="s">
        <v>2478</v>
      </c>
      <c r="C543" s="6" t="s">
        <v>59</v>
      </c>
      <c r="D543" s="6" t="s">
        <v>2450</v>
      </c>
      <c r="E543" s="6" t="s">
        <v>61</v>
      </c>
      <c r="F543" s="6" t="s">
        <v>2137</v>
      </c>
      <c r="G543" s="6" t="s">
        <v>2451</v>
      </c>
      <c r="H543" s="7" t="n">
        <v>2147</v>
      </c>
      <c r="I543" s="8" t="n">
        <v>1</v>
      </c>
      <c r="J543" s="9" t="n">
        <v>87.07</v>
      </c>
      <c r="K543" s="8" t="s">
        <v>35</v>
      </c>
      <c r="L543" s="10" t="s">
        <v>2103</v>
      </c>
      <c r="M543" s="10" t="s">
        <v>2452</v>
      </c>
      <c r="N543" s="10" t="s">
        <v>2453</v>
      </c>
      <c r="O543" s="8" t="str">
        <f aca="false">IF(M543="prescription","Yes","No")</f>
        <v>No</v>
      </c>
      <c r="P543" s="6"/>
      <c r="Q543" s="6" t="s">
        <v>2479</v>
      </c>
    </row>
    <row r="544" customFormat="false" ht="15" hidden="false" customHeight="false" outlineLevel="0" collapsed="false">
      <c r="A544" s="6" t="s">
        <v>2480</v>
      </c>
      <c r="B544" s="6" t="s">
        <v>2481</v>
      </c>
      <c r="C544" s="6" t="s">
        <v>59</v>
      </c>
      <c r="D544" s="6" t="s">
        <v>2450</v>
      </c>
      <c r="E544" s="6" t="s">
        <v>61</v>
      </c>
      <c r="F544" s="6" t="s">
        <v>2137</v>
      </c>
      <c r="G544" s="6" t="s">
        <v>2451</v>
      </c>
      <c r="H544" s="7" t="n">
        <v>89</v>
      </c>
      <c r="I544" s="8" t="n">
        <v>1</v>
      </c>
      <c r="J544" s="9" t="n">
        <v>150.89</v>
      </c>
      <c r="K544" s="8" t="s">
        <v>35</v>
      </c>
      <c r="L544" s="10" t="s">
        <v>2103</v>
      </c>
      <c r="M544" s="10" t="s">
        <v>2452</v>
      </c>
      <c r="N544" s="10" t="s">
        <v>2453</v>
      </c>
      <c r="O544" s="8" t="str">
        <f aca="false">IF(M544="prescription","Yes","No")</f>
        <v>No</v>
      </c>
      <c r="P544" s="6"/>
      <c r="Q544" s="6" t="s">
        <v>2482</v>
      </c>
    </row>
    <row r="545" customFormat="false" ht="15" hidden="false" customHeight="false" outlineLevel="0" collapsed="false">
      <c r="A545" s="6" t="s">
        <v>2483</v>
      </c>
      <c r="B545" s="6" t="s">
        <v>2484</v>
      </c>
      <c r="C545" s="6" t="s">
        <v>59</v>
      </c>
      <c r="D545" s="6" t="s">
        <v>2450</v>
      </c>
      <c r="E545" s="6" t="s">
        <v>61</v>
      </c>
      <c r="F545" s="6" t="s">
        <v>2137</v>
      </c>
      <c r="G545" s="6" t="s">
        <v>2451</v>
      </c>
      <c r="H545" s="7" t="n">
        <v>23</v>
      </c>
      <c r="I545" s="8" t="n">
        <v>1</v>
      </c>
      <c r="J545" s="9" t="n">
        <v>150.89</v>
      </c>
      <c r="K545" s="8" t="s">
        <v>35</v>
      </c>
      <c r="L545" s="10" t="s">
        <v>2103</v>
      </c>
      <c r="M545" s="10" t="s">
        <v>2452</v>
      </c>
      <c r="N545" s="10" t="s">
        <v>2453</v>
      </c>
      <c r="O545" s="8" t="str">
        <f aca="false">IF(M545="prescription","Yes","No")</f>
        <v>No</v>
      </c>
      <c r="P545" s="6"/>
      <c r="Q545" s="6" t="s">
        <v>2485</v>
      </c>
    </row>
    <row r="546" customFormat="false" ht="15" hidden="false" customHeight="false" outlineLevel="0" collapsed="false">
      <c r="A546" s="6" t="s">
        <v>2486</v>
      </c>
      <c r="B546" s="6" t="s">
        <v>2487</v>
      </c>
      <c r="C546" s="6" t="s">
        <v>59</v>
      </c>
      <c r="D546" s="6" t="s">
        <v>2460</v>
      </c>
      <c r="E546" s="6" t="s">
        <v>61</v>
      </c>
      <c r="F546" s="6" t="s">
        <v>2137</v>
      </c>
      <c r="G546" s="6" t="s">
        <v>2451</v>
      </c>
      <c r="H546" s="7" t="n">
        <v>10</v>
      </c>
      <c r="I546" s="8" t="n">
        <v>1</v>
      </c>
      <c r="J546" s="9" t="n">
        <v>58.7</v>
      </c>
      <c r="K546" s="8" t="s">
        <v>35</v>
      </c>
      <c r="L546" s="10" t="s">
        <v>2103</v>
      </c>
      <c r="M546" s="10" t="s">
        <v>2452</v>
      </c>
      <c r="N546" s="10" t="s">
        <v>2453</v>
      </c>
      <c r="O546" s="8" t="str">
        <f aca="false">IF(M546="prescription","Yes","No")</f>
        <v>No</v>
      </c>
      <c r="P546" s="6"/>
      <c r="Q546" s="6" t="s">
        <v>2488</v>
      </c>
    </row>
    <row r="547" customFormat="false" ht="15" hidden="false" customHeight="false" outlineLevel="0" collapsed="false">
      <c r="A547" s="6" t="s">
        <v>2489</v>
      </c>
      <c r="B547" s="6" t="s">
        <v>2490</v>
      </c>
      <c r="C547" s="6" t="s">
        <v>59</v>
      </c>
      <c r="D547" s="6" t="s">
        <v>2450</v>
      </c>
      <c r="E547" s="6" t="s">
        <v>61</v>
      </c>
      <c r="F547" s="6" t="s">
        <v>2137</v>
      </c>
      <c r="G547" s="6" t="s">
        <v>2451</v>
      </c>
      <c r="H547" s="7" t="n">
        <v>16</v>
      </c>
      <c r="I547" s="8" t="n">
        <v>1</v>
      </c>
      <c r="J547" s="9" t="n">
        <v>434.95</v>
      </c>
      <c r="K547" s="8" t="s">
        <v>35</v>
      </c>
      <c r="L547" s="10" t="s">
        <v>2103</v>
      </c>
      <c r="M547" s="10" t="s">
        <v>2452</v>
      </c>
      <c r="N547" s="10" t="s">
        <v>2453</v>
      </c>
      <c r="O547" s="8" t="str">
        <f aca="false">IF(M547="prescription","Yes","No")</f>
        <v>No</v>
      </c>
      <c r="P547" s="6"/>
      <c r="Q547" s="6" t="s">
        <v>2491</v>
      </c>
    </row>
    <row r="548" customFormat="false" ht="15" hidden="false" customHeight="false" outlineLevel="0" collapsed="false">
      <c r="A548" s="6" t="s">
        <v>2492</v>
      </c>
      <c r="B548" s="6" t="s">
        <v>2493</v>
      </c>
      <c r="C548" s="6" t="s">
        <v>59</v>
      </c>
      <c r="D548" s="6" t="s">
        <v>2450</v>
      </c>
      <c r="E548" s="6" t="s">
        <v>61</v>
      </c>
      <c r="F548" s="6" t="s">
        <v>2137</v>
      </c>
      <c r="G548" s="6" t="s">
        <v>2451</v>
      </c>
      <c r="H548" s="7" t="n">
        <v>100</v>
      </c>
      <c r="I548" s="8" t="n">
        <v>1</v>
      </c>
      <c r="J548" s="9" t="n">
        <v>128.65</v>
      </c>
      <c r="K548" s="8" t="s">
        <v>35</v>
      </c>
      <c r="L548" s="10" t="s">
        <v>2103</v>
      </c>
      <c r="M548" s="10" t="s">
        <v>2452</v>
      </c>
      <c r="N548" s="10" t="s">
        <v>2453</v>
      </c>
      <c r="O548" s="8" t="str">
        <f aca="false">IF(M548="prescription","Yes","No")</f>
        <v>No</v>
      </c>
      <c r="P548" s="6"/>
      <c r="Q548" s="6" t="s">
        <v>2494</v>
      </c>
    </row>
    <row r="549" customFormat="false" ht="15" hidden="false" customHeight="false" outlineLevel="0" collapsed="false">
      <c r="A549" s="6" t="s">
        <v>2495</v>
      </c>
      <c r="B549" s="6" t="s">
        <v>2496</v>
      </c>
      <c r="C549" s="6" t="s">
        <v>59</v>
      </c>
      <c r="D549" s="6" t="s">
        <v>2450</v>
      </c>
      <c r="E549" s="6" t="s">
        <v>61</v>
      </c>
      <c r="F549" s="6" t="s">
        <v>2137</v>
      </c>
      <c r="G549" s="6" t="s">
        <v>2451</v>
      </c>
      <c r="H549" s="7" t="n">
        <v>13</v>
      </c>
      <c r="I549" s="8" t="n">
        <v>1</v>
      </c>
      <c r="J549" s="9" t="n">
        <v>128.65</v>
      </c>
      <c r="K549" s="8" t="s">
        <v>35</v>
      </c>
      <c r="L549" s="10" t="s">
        <v>2103</v>
      </c>
      <c r="M549" s="10" t="s">
        <v>2452</v>
      </c>
      <c r="N549" s="10" t="s">
        <v>2453</v>
      </c>
      <c r="O549" s="8" t="str">
        <f aca="false">IF(M549="prescription","Yes","No")</f>
        <v>No</v>
      </c>
      <c r="P549" s="6"/>
      <c r="Q549" s="6" t="s">
        <v>2497</v>
      </c>
    </row>
    <row r="550" customFormat="false" ht="15" hidden="false" customHeight="false" outlineLevel="0" collapsed="false">
      <c r="A550" s="6" t="s">
        <v>2498</v>
      </c>
      <c r="B550" s="6" t="s">
        <v>2499</v>
      </c>
      <c r="C550" s="6" t="s">
        <v>59</v>
      </c>
      <c r="D550" s="6" t="s">
        <v>2450</v>
      </c>
      <c r="E550" s="6" t="s">
        <v>61</v>
      </c>
      <c r="F550" s="6" t="s">
        <v>2137</v>
      </c>
      <c r="G550" s="6" t="s">
        <v>2451</v>
      </c>
      <c r="H550" s="7" t="n">
        <v>20</v>
      </c>
      <c r="I550" s="8" t="n">
        <v>1</v>
      </c>
      <c r="J550" s="9" t="n">
        <v>164.33</v>
      </c>
      <c r="K550" s="8" t="s">
        <v>35</v>
      </c>
      <c r="L550" s="10" t="s">
        <v>2103</v>
      </c>
      <c r="M550" s="10" t="s">
        <v>2452</v>
      </c>
      <c r="N550" s="10" t="s">
        <v>2453</v>
      </c>
      <c r="O550" s="8" t="str">
        <f aca="false">IF(M550="prescription","Yes","No")</f>
        <v>No</v>
      </c>
      <c r="P550" s="6"/>
      <c r="Q550" s="6" t="s">
        <v>2500</v>
      </c>
    </row>
    <row r="551" customFormat="false" ht="15" hidden="false" customHeight="false" outlineLevel="0" collapsed="false">
      <c r="A551" s="6" t="s">
        <v>2501</v>
      </c>
      <c r="B551" s="6" t="s">
        <v>2502</v>
      </c>
      <c r="C551" s="6" t="s">
        <v>59</v>
      </c>
      <c r="D551" s="6" t="s">
        <v>2450</v>
      </c>
      <c r="E551" s="6" t="s">
        <v>61</v>
      </c>
      <c r="F551" s="6" t="s">
        <v>2137</v>
      </c>
      <c r="G551" s="6" t="s">
        <v>2451</v>
      </c>
      <c r="H551" s="7" t="n">
        <v>7</v>
      </c>
      <c r="I551" s="8" t="n">
        <v>1</v>
      </c>
      <c r="J551" s="9" t="n">
        <v>164.33</v>
      </c>
      <c r="K551" s="8" t="s">
        <v>35</v>
      </c>
      <c r="L551" s="10" t="s">
        <v>2103</v>
      </c>
      <c r="M551" s="10" t="s">
        <v>2452</v>
      </c>
      <c r="N551" s="10" t="s">
        <v>2453</v>
      </c>
      <c r="O551" s="8" t="str">
        <f aca="false">IF(M551="prescription","Yes","No")</f>
        <v>No</v>
      </c>
      <c r="P551" s="6"/>
      <c r="Q551" s="6" t="s">
        <v>2503</v>
      </c>
    </row>
    <row r="552" customFormat="false" ht="15" hidden="false" customHeight="false" outlineLevel="0" collapsed="false">
      <c r="A552" s="6" t="s">
        <v>2504</v>
      </c>
      <c r="B552" s="6" t="s">
        <v>2505</v>
      </c>
      <c r="C552" s="6" t="s">
        <v>59</v>
      </c>
      <c r="D552" s="6" t="s">
        <v>2450</v>
      </c>
      <c r="E552" s="6" t="s">
        <v>61</v>
      </c>
      <c r="F552" s="6" t="s">
        <v>2137</v>
      </c>
      <c r="G552" s="6" t="s">
        <v>2451</v>
      </c>
      <c r="H552" s="7" t="n">
        <v>15</v>
      </c>
      <c r="I552" s="8" t="n">
        <v>1</v>
      </c>
      <c r="J552" s="9" t="n">
        <v>164.33</v>
      </c>
      <c r="K552" s="8" t="s">
        <v>35</v>
      </c>
      <c r="L552" s="10" t="s">
        <v>2103</v>
      </c>
      <c r="M552" s="10" t="s">
        <v>2452</v>
      </c>
      <c r="N552" s="10" t="s">
        <v>2453</v>
      </c>
      <c r="O552" s="8" t="str">
        <f aca="false">IF(M552="prescription","Yes","No")</f>
        <v>No</v>
      </c>
      <c r="P552" s="6"/>
      <c r="Q552" s="6" t="s">
        <v>2506</v>
      </c>
    </row>
    <row r="553" customFormat="false" ht="15" hidden="false" customHeight="false" outlineLevel="0" collapsed="false">
      <c r="A553" s="6" t="s">
        <v>2507</v>
      </c>
      <c r="B553" s="6" t="s">
        <v>2508</v>
      </c>
      <c r="C553" s="6" t="s">
        <v>59</v>
      </c>
      <c r="D553" s="6" t="s">
        <v>2450</v>
      </c>
      <c r="E553" s="6" t="s">
        <v>61</v>
      </c>
      <c r="F553" s="6" t="s">
        <v>2137</v>
      </c>
      <c r="G553" s="6" t="s">
        <v>2451</v>
      </c>
      <c r="H553" s="7" t="n">
        <v>7</v>
      </c>
      <c r="I553" s="8" t="n">
        <v>1</v>
      </c>
      <c r="J553" s="9" t="n">
        <v>164.33</v>
      </c>
      <c r="K553" s="8" t="s">
        <v>35</v>
      </c>
      <c r="L553" s="10" t="s">
        <v>2103</v>
      </c>
      <c r="M553" s="10" t="s">
        <v>2452</v>
      </c>
      <c r="N553" s="10" t="s">
        <v>2453</v>
      </c>
      <c r="O553" s="8" t="str">
        <f aca="false">IF(M553="prescription","Yes","No")</f>
        <v>No</v>
      </c>
      <c r="P553" s="6"/>
      <c r="Q553" s="6" t="s">
        <v>2509</v>
      </c>
    </row>
    <row r="554" customFormat="false" ht="15" hidden="false" customHeight="false" outlineLevel="0" collapsed="false">
      <c r="A554" s="6" t="s">
        <v>2510</v>
      </c>
      <c r="B554" s="6" t="s">
        <v>2511</v>
      </c>
      <c r="C554" s="6" t="s">
        <v>59</v>
      </c>
      <c r="D554" s="6" t="s">
        <v>2450</v>
      </c>
      <c r="E554" s="6" t="s">
        <v>61</v>
      </c>
      <c r="F554" s="6" t="s">
        <v>2137</v>
      </c>
      <c r="G554" s="6" t="s">
        <v>2451</v>
      </c>
      <c r="H554" s="7" t="n">
        <v>26</v>
      </c>
      <c r="I554" s="8" t="n">
        <v>1</v>
      </c>
      <c r="J554" s="9" t="n">
        <v>164.33</v>
      </c>
      <c r="K554" s="8" t="s">
        <v>35</v>
      </c>
      <c r="L554" s="10" t="s">
        <v>2103</v>
      </c>
      <c r="M554" s="10" t="s">
        <v>2452</v>
      </c>
      <c r="N554" s="10" t="s">
        <v>2453</v>
      </c>
      <c r="O554" s="8" t="str">
        <f aca="false">IF(M554="prescription","Yes","No")</f>
        <v>No</v>
      </c>
      <c r="P554" s="6"/>
      <c r="Q554" s="6" t="s">
        <v>2512</v>
      </c>
    </row>
    <row r="555" customFormat="false" ht="15" hidden="false" customHeight="false" outlineLevel="0" collapsed="false">
      <c r="A555" s="6" t="s">
        <v>2513</v>
      </c>
      <c r="B555" s="6" t="s">
        <v>2514</v>
      </c>
      <c r="C555" s="6" t="s">
        <v>59</v>
      </c>
      <c r="D555" s="6" t="s">
        <v>2450</v>
      </c>
      <c r="E555" s="6" t="s">
        <v>61</v>
      </c>
      <c r="F555" s="6" t="s">
        <v>2137</v>
      </c>
      <c r="G555" s="6" t="s">
        <v>2451</v>
      </c>
      <c r="H555" s="7" t="n">
        <v>356</v>
      </c>
      <c r="I555" s="8" t="n">
        <v>1</v>
      </c>
      <c r="J555" s="9" t="n">
        <v>185.95</v>
      </c>
      <c r="K555" s="8" t="s">
        <v>35</v>
      </c>
      <c r="L555" s="10" t="s">
        <v>2103</v>
      </c>
      <c r="M555" s="10" t="s">
        <v>2452</v>
      </c>
      <c r="N555" s="10" t="s">
        <v>2453</v>
      </c>
      <c r="O555" s="8" t="str">
        <f aca="false">IF(M555="prescription","Yes","No")</f>
        <v>No</v>
      </c>
      <c r="P555" s="6"/>
      <c r="Q555" s="6" t="s">
        <v>2515</v>
      </c>
    </row>
    <row r="556" customFormat="false" ht="15" hidden="false" customHeight="false" outlineLevel="0" collapsed="false">
      <c r="A556" s="6" t="s">
        <v>2516</v>
      </c>
      <c r="B556" s="6" t="s">
        <v>2517</v>
      </c>
      <c r="C556" s="6" t="s">
        <v>59</v>
      </c>
      <c r="D556" s="6" t="s">
        <v>2450</v>
      </c>
      <c r="E556" s="6" t="s">
        <v>61</v>
      </c>
      <c r="F556" s="6" t="s">
        <v>2137</v>
      </c>
      <c r="G556" s="6" t="s">
        <v>2451</v>
      </c>
      <c r="H556" s="7" t="n">
        <v>245</v>
      </c>
      <c r="I556" s="8" t="n">
        <v>1</v>
      </c>
      <c r="J556" s="9" t="n">
        <v>96.39</v>
      </c>
      <c r="K556" s="8" t="s">
        <v>35</v>
      </c>
      <c r="L556" s="10" t="s">
        <v>2103</v>
      </c>
      <c r="M556" s="10" t="s">
        <v>2452</v>
      </c>
      <c r="N556" s="10" t="s">
        <v>2453</v>
      </c>
      <c r="O556" s="8" t="str">
        <f aca="false">IF(M556="prescription","Yes","No")</f>
        <v>No</v>
      </c>
      <c r="P556" s="6"/>
      <c r="Q556" s="6" t="s">
        <v>2518</v>
      </c>
    </row>
    <row r="557" customFormat="false" ht="15" hidden="false" customHeight="false" outlineLevel="0" collapsed="false">
      <c r="A557" s="6" t="s">
        <v>2519</v>
      </c>
      <c r="B557" s="6" t="s">
        <v>2520</v>
      </c>
      <c r="C557" s="6" t="s">
        <v>59</v>
      </c>
      <c r="D557" s="6" t="s">
        <v>2450</v>
      </c>
      <c r="E557" s="6" t="s">
        <v>61</v>
      </c>
      <c r="F557" s="6" t="s">
        <v>2137</v>
      </c>
      <c r="G557" s="6" t="s">
        <v>2451</v>
      </c>
      <c r="H557" s="7" t="n">
        <v>17</v>
      </c>
      <c r="I557" s="8" t="n">
        <v>1</v>
      </c>
      <c r="J557" s="9" t="n">
        <v>420.81</v>
      </c>
      <c r="K557" s="8" t="s">
        <v>35</v>
      </c>
      <c r="L557" s="10" t="s">
        <v>2103</v>
      </c>
      <c r="M557" s="10" t="s">
        <v>2452</v>
      </c>
      <c r="N557" s="10" t="s">
        <v>2453</v>
      </c>
      <c r="O557" s="8" t="str">
        <f aca="false">IF(M557="prescription","Yes","No")</f>
        <v>No</v>
      </c>
      <c r="P557" s="6"/>
      <c r="Q557" s="6" t="s">
        <v>2521</v>
      </c>
    </row>
    <row r="558" customFormat="false" ht="15" hidden="false" customHeight="false" outlineLevel="0" collapsed="false">
      <c r="A558" s="6" t="s">
        <v>2522</v>
      </c>
      <c r="B558" s="6" t="s">
        <v>2523</v>
      </c>
      <c r="C558" s="6" t="s">
        <v>59</v>
      </c>
      <c r="D558" s="6" t="s">
        <v>2450</v>
      </c>
      <c r="E558" s="6" t="s">
        <v>61</v>
      </c>
      <c r="F558" s="6" t="s">
        <v>2137</v>
      </c>
      <c r="G558" s="6" t="s">
        <v>2451</v>
      </c>
      <c r="H558" s="7" t="n">
        <v>73</v>
      </c>
      <c r="I558" s="8" t="n">
        <v>1</v>
      </c>
      <c r="J558" s="9" t="n">
        <v>203.11</v>
      </c>
      <c r="K558" s="8" t="s">
        <v>35</v>
      </c>
      <c r="L558" s="10" t="s">
        <v>2103</v>
      </c>
      <c r="M558" s="10" t="s">
        <v>2452</v>
      </c>
      <c r="N558" s="10" t="s">
        <v>2453</v>
      </c>
      <c r="O558" s="8" t="str">
        <f aca="false">IF(M558="prescription","Yes","No")</f>
        <v>No</v>
      </c>
      <c r="P558" s="6"/>
      <c r="Q558" s="6" t="s">
        <v>2524</v>
      </c>
    </row>
    <row r="559" customFormat="false" ht="15" hidden="false" customHeight="false" outlineLevel="0" collapsed="false">
      <c r="A559" s="6" t="s">
        <v>2525</v>
      </c>
      <c r="B559" s="6" t="s">
        <v>2526</v>
      </c>
      <c r="C559" s="6" t="s">
        <v>59</v>
      </c>
      <c r="D559" s="6" t="s">
        <v>2450</v>
      </c>
      <c r="E559" s="6" t="s">
        <v>61</v>
      </c>
      <c r="F559" s="6" t="s">
        <v>2137</v>
      </c>
      <c r="G559" s="6" t="s">
        <v>2451</v>
      </c>
      <c r="H559" s="7" t="n">
        <v>162</v>
      </c>
      <c r="I559" s="8" t="n">
        <v>1</v>
      </c>
      <c r="J559" s="9" t="n">
        <v>96.39</v>
      </c>
      <c r="K559" s="8" t="s">
        <v>35</v>
      </c>
      <c r="L559" s="10" t="s">
        <v>2103</v>
      </c>
      <c r="M559" s="10" t="s">
        <v>2452</v>
      </c>
      <c r="N559" s="10" t="s">
        <v>2453</v>
      </c>
      <c r="O559" s="8" t="str">
        <f aca="false">IF(M559="prescription","Yes","No")</f>
        <v>No</v>
      </c>
      <c r="P559" s="6"/>
      <c r="Q559" s="6" t="s">
        <v>2527</v>
      </c>
    </row>
    <row r="560" customFormat="false" ht="15" hidden="false" customHeight="false" outlineLevel="0" collapsed="false">
      <c r="A560" s="6" t="s">
        <v>2528</v>
      </c>
      <c r="B560" s="6" t="s">
        <v>2529</v>
      </c>
      <c r="C560" s="6" t="s">
        <v>59</v>
      </c>
      <c r="D560" s="6" t="s">
        <v>2450</v>
      </c>
      <c r="E560" s="6" t="s">
        <v>61</v>
      </c>
      <c r="F560" s="6" t="s">
        <v>2137</v>
      </c>
      <c r="G560" s="6" t="s">
        <v>2451</v>
      </c>
      <c r="H560" s="7" t="n">
        <v>10</v>
      </c>
      <c r="I560" s="8" t="n">
        <v>1</v>
      </c>
      <c r="J560" s="9" t="n">
        <v>128.65</v>
      </c>
      <c r="K560" s="8" t="s">
        <v>35</v>
      </c>
      <c r="L560" s="10" t="s">
        <v>2103</v>
      </c>
      <c r="M560" s="10" t="s">
        <v>2452</v>
      </c>
      <c r="N560" s="10" t="s">
        <v>2453</v>
      </c>
      <c r="O560" s="8" t="str">
        <f aca="false">IF(M560="prescription","Yes","No")</f>
        <v>No</v>
      </c>
      <c r="P560" s="6"/>
      <c r="Q560" s="6" t="s">
        <v>2530</v>
      </c>
    </row>
    <row r="561" customFormat="false" ht="15" hidden="false" customHeight="false" outlineLevel="0" collapsed="false">
      <c r="A561" s="6" t="s">
        <v>2531</v>
      </c>
      <c r="B561" s="6" t="s">
        <v>2532</v>
      </c>
      <c r="C561" s="6" t="s">
        <v>59</v>
      </c>
      <c r="D561" s="6" t="s">
        <v>2450</v>
      </c>
      <c r="E561" s="6" t="s">
        <v>61</v>
      </c>
      <c r="F561" s="6" t="s">
        <v>2137</v>
      </c>
      <c r="G561" s="6" t="s">
        <v>2451</v>
      </c>
      <c r="H561" s="7" t="n">
        <v>31</v>
      </c>
      <c r="I561" s="8" t="n">
        <v>1</v>
      </c>
      <c r="J561" s="9" t="n">
        <v>128.65</v>
      </c>
      <c r="K561" s="8" t="s">
        <v>35</v>
      </c>
      <c r="L561" s="10" t="s">
        <v>2103</v>
      </c>
      <c r="M561" s="10" t="s">
        <v>2452</v>
      </c>
      <c r="N561" s="10" t="s">
        <v>2453</v>
      </c>
      <c r="O561" s="8" t="str">
        <f aca="false">IF(M561="prescription","Yes","No")</f>
        <v>No</v>
      </c>
      <c r="P561" s="6"/>
      <c r="Q561" s="6" t="s">
        <v>2533</v>
      </c>
    </row>
    <row r="562" customFormat="false" ht="15" hidden="false" customHeight="false" outlineLevel="0" collapsed="false">
      <c r="A562" s="6" t="s">
        <v>2534</v>
      </c>
      <c r="B562" s="6" t="s">
        <v>2535</v>
      </c>
      <c r="C562" s="6" t="s">
        <v>59</v>
      </c>
      <c r="D562" s="6" t="s">
        <v>2450</v>
      </c>
      <c r="E562" s="6" t="s">
        <v>61</v>
      </c>
      <c r="F562" s="6" t="s">
        <v>2137</v>
      </c>
      <c r="G562" s="6" t="s">
        <v>2451</v>
      </c>
      <c r="H562" s="7" t="n">
        <v>86</v>
      </c>
      <c r="I562" s="8" t="n">
        <v>1</v>
      </c>
      <c r="J562" s="9" t="n">
        <v>128.65</v>
      </c>
      <c r="K562" s="8" t="s">
        <v>35</v>
      </c>
      <c r="L562" s="10" t="s">
        <v>2103</v>
      </c>
      <c r="M562" s="10" t="s">
        <v>2452</v>
      </c>
      <c r="N562" s="10" t="s">
        <v>2453</v>
      </c>
      <c r="O562" s="8" t="str">
        <f aca="false">IF(M562="prescription","Yes","No")</f>
        <v>No</v>
      </c>
      <c r="P562" s="6"/>
      <c r="Q562" s="6" t="s">
        <v>2536</v>
      </c>
    </row>
    <row r="563" customFormat="false" ht="15" hidden="false" customHeight="false" outlineLevel="0" collapsed="false">
      <c r="A563" s="6" t="s">
        <v>2537</v>
      </c>
      <c r="B563" s="6" t="s">
        <v>2538</v>
      </c>
      <c r="C563" s="6" t="s">
        <v>59</v>
      </c>
      <c r="D563" s="6" t="s">
        <v>2450</v>
      </c>
      <c r="E563" s="6" t="s">
        <v>61</v>
      </c>
      <c r="F563" s="6" t="s">
        <v>2137</v>
      </c>
      <c r="G563" s="6" t="s">
        <v>2451</v>
      </c>
      <c r="H563" s="7" t="n">
        <v>224</v>
      </c>
      <c r="I563" s="8" t="n">
        <v>1</v>
      </c>
      <c r="J563" s="9" t="n">
        <v>128.65</v>
      </c>
      <c r="K563" s="8" t="s">
        <v>35</v>
      </c>
      <c r="L563" s="10" t="s">
        <v>2103</v>
      </c>
      <c r="M563" s="10" t="s">
        <v>2452</v>
      </c>
      <c r="N563" s="10" t="s">
        <v>2453</v>
      </c>
      <c r="O563" s="8" t="str">
        <f aca="false">IF(M563="prescription","Yes","No")</f>
        <v>No</v>
      </c>
      <c r="P563" s="6"/>
      <c r="Q563" s="6" t="s">
        <v>2539</v>
      </c>
    </row>
    <row r="564" customFormat="false" ht="15" hidden="false" customHeight="false" outlineLevel="0" collapsed="false">
      <c r="A564" s="6" t="s">
        <v>2540</v>
      </c>
      <c r="B564" s="6" t="s">
        <v>2541</v>
      </c>
      <c r="C564" s="6" t="s">
        <v>59</v>
      </c>
      <c r="D564" s="6" t="s">
        <v>2460</v>
      </c>
      <c r="E564" s="6" t="s">
        <v>61</v>
      </c>
      <c r="F564" s="6" t="s">
        <v>2137</v>
      </c>
      <c r="G564" s="6" t="s">
        <v>2451</v>
      </c>
      <c r="H564" s="7" t="n">
        <v>44</v>
      </c>
      <c r="I564" s="8" t="n">
        <v>1</v>
      </c>
      <c r="J564" s="9" t="n">
        <v>87.07</v>
      </c>
      <c r="K564" s="8" t="s">
        <v>35</v>
      </c>
      <c r="L564" s="10" t="s">
        <v>2103</v>
      </c>
      <c r="M564" s="10" t="s">
        <v>2452</v>
      </c>
      <c r="N564" s="10" t="s">
        <v>2453</v>
      </c>
      <c r="O564" s="8" t="str">
        <f aca="false">IF(M564="prescription","Yes","No")</f>
        <v>No</v>
      </c>
      <c r="P564" s="6"/>
      <c r="Q564" s="6" t="s">
        <v>2542</v>
      </c>
    </row>
    <row r="565" customFormat="false" ht="15" hidden="false" customHeight="false" outlineLevel="0" collapsed="false">
      <c r="A565" s="6" t="s">
        <v>2543</v>
      </c>
      <c r="B565" s="6" t="s">
        <v>2544</v>
      </c>
      <c r="C565" s="6" t="s">
        <v>59</v>
      </c>
      <c r="D565" s="6" t="s">
        <v>2460</v>
      </c>
      <c r="E565" s="6" t="s">
        <v>61</v>
      </c>
      <c r="F565" s="6" t="s">
        <v>2137</v>
      </c>
      <c r="G565" s="6" t="s">
        <v>2451</v>
      </c>
      <c r="H565" s="7" t="n">
        <v>8</v>
      </c>
      <c r="I565" s="8" t="n">
        <v>1</v>
      </c>
      <c r="J565" s="9" t="n">
        <v>90.81</v>
      </c>
      <c r="K565" s="8" t="s">
        <v>35</v>
      </c>
      <c r="L565" s="10" t="s">
        <v>2103</v>
      </c>
      <c r="M565" s="10" t="s">
        <v>2452</v>
      </c>
      <c r="N565" s="10" t="s">
        <v>2453</v>
      </c>
      <c r="O565" s="8" t="str">
        <f aca="false">IF(M565="prescription","Yes","No")</f>
        <v>No</v>
      </c>
      <c r="P565" s="6"/>
      <c r="Q565" s="6" t="s">
        <v>2545</v>
      </c>
    </row>
    <row r="566" customFormat="false" ht="15" hidden="false" customHeight="false" outlineLevel="0" collapsed="false">
      <c r="A566" s="6" t="s">
        <v>2546</v>
      </c>
      <c r="B566" s="6" t="s">
        <v>2547</v>
      </c>
      <c r="C566" s="6" t="s">
        <v>59</v>
      </c>
      <c r="D566" s="6" t="s">
        <v>2460</v>
      </c>
      <c r="E566" s="6" t="s">
        <v>61</v>
      </c>
      <c r="F566" s="6" t="s">
        <v>2137</v>
      </c>
      <c r="G566" s="6" t="s">
        <v>2451</v>
      </c>
      <c r="H566" s="7" t="n">
        <v>20</v>
      </c>
      <c r="I566" s="8" t="n">
        <v>1</v>
      </c>
      <c r="J566" s="9" t="n">
        <v>96.39</v>
      </c>
      <c r="K566" s="8" t="s">
        <v>35</v>
      </c>
      <c r="L566" s="10" t="s">
        <v>2103</v>
      </c>
      <c r="M566" s="10" t="s">
        <v>2452</v>
      </c>
      <c r="N566" s="10" t="s">
        <v>2453</v>
      </c>
      <c r="O566" s="8" t="str">
        <f aca="false">IF(M566="prescription","Yes","No")</f>
        <v>No</v>
      </c>
      <c r="P566" s="6"/>
      <c r="Q566" s="6" t="s">
        <v>2548</v>
      </c>
    </row>
    <row r="567" customFormat="false" ht="15" hidden="false" customHeight="false" outlineLevel="0" collapsed="false">
      <c r="A567" s="6" t="s">
        <v>2549</v>
      </c>
      <c r="B567" s="6" t="s">
        <v>2550</v>
      </c>
      <c r="C567" s="6" t="s">
        <v>59</v>
      </c>
      <c r="D567" s="6" t="s">
        <v>2460</v>
      </c>
      <c r="E567" s="6" t="s">
        <v>61</v>
      </c>
      <c r="F567" s="6" t="s">
        <v>2137</v>
      </c>
      <c r="G567" s="6" t="s">
        <v>2451</v>
      </c>
      <c r="H567" s="7" t="n">
        <v>510</v>
      </c>
      <c r="I567" s="8" t="n">
        <v>1</v>
      </c>
      <c r="J567" s="9" t="n">
        <v>58.7</v>
      </c>
      <c r="K567" s="8" t="s">
        <v>35</v>
      </c>
      <c r="L567" s="10" t="s">
        <v>2103</v>
      </c>
      <c r="M567" s="10" t="s">
        <v>2452</v>
      </c>
      <c r="N567" s="10" t="s">
        <v>2453</v>
      </c>
      <c r="O567" s="8" t="str">
        <f aca="false">IF(M567="prescription","Yes","No")</f>
        <v>No</v>
      </c>
      <c r="P567" s="6"/>
      <c r="Q567" s="6" t="s">
        <v>2551</v>
      </c>
    </row>
    <row r="568" customFormat="false" ht="15" hidden="false" customHeight="false" outlineLevel="0" collapsed="false">
      <c r="A568" s="6" t="s">
        <v>2552</v>
      </c>
      <c r="B568" s="6" t="s">
        <v>2553</v>
      </c>
      <c r="C568" s="6" t="s">
        <v>59</v>
      </c>
      <c r="D568" s="6" t="s">
        <v>2460</v>
      </c>
      <c r="E568" s="6" t="s">
        <v>61</v>
      </c>
      <c r="F568" s="6" t="s">
        <v>2137</v>
      </c>
      <c r="G568" s="6" t="s">
        <v>2451</v>
      </c>
      <c r="H568" s="7" t="n">
        <v>12</v>
      </c>
      <c r="I568" s="8" t="n">
        <v>1</v>
      </c>
      <c r="J568" s="9" t="n">
        <v>58.7</v>
      </c>
      <c r="K568" s="8" t="s">
        <v>35</v>
      </c>
      <c r="L568" s="10" t="s">
        <v>2103</v>
      </c>
      <c r="M568" s="10" t="s">
        <v>2452</v>
      </c>
      <c r="N568" s="10" t="s">
        <v>2453</v>
      </c>
      <c r="O568" s="8" t="str">
        <f aca="false">IF(M568="prescription","Yes","No")</f>
        <v>No</v>
      </c>
      <c r="P568" s="6"/>
      <c r="Q568" s="6" t="s">
        <v>2554</v>
      </c>
    </row>
    <row r="569" customFormat="false" ht="15" hidden="false" customHeight="false" outlineLevel="0" collapsed="false">
      <c r="A569" s="6" t="s">
        <v>2555</v>
      </c>
      <c r="B569" s="6" t="s">
        <v>2556</v>
      </c>
      <c r="C569" s="6" t="s">
        <v>59</v>
      </c>
      <c r="D569" s="6" t="s">
        <v>2460</v>
      </c>
      <c r="E569" s="6" t="s">
        <v>61</v>
      </c>
      <c r="F569" s="6" t="s">
        <v>2137</v>
      </c>
      <c r="G569" s="6" t="s">
        <v>2451</v>
      </c>
      <c r="H569" s="7" t="n">
        <v>9</v>
      </c>
      <c r="I569" s="8" t="n">
        <v>1</v>
      </c>
      <c r="J569" s="9" t="n">
        <v>77.68</v>
      </c>
      <c r="K569" s="8" t="s">
        <v>35</v>
      </c>
      <c r="L569" s="10" t="s">
        <v>2103</v>
      </c>
      <c r="M569" s="10" t="s">
        <v>2452</v>
      </c>
      <c r="N569" s="10" t="s">
        <v>2453</v>
      </c>
      <c r="O569" s="8" t="str">
        <f aca="false">IF(M569="prescription","Yes","No")</f>
        <v>No</v>
      </c>
      <c r="P569" s="6"/>
      <c r="Q569" s="6" t="s">
        <v>2557</v>
      </c>
    </row>
    <row r="570" customFormat="false" ht="15" hidden="false" customHeight="false" outlineLevel="0" collapsed="false">
      <c r="A570" s="6" t="s">
        <v>2558</v>
      </c>
      <c r="B570" s="6" t="s">
        <v>2559</v>
      </c>
      <c r="C570" s="6" t="s">
        <v>59</v>
      </c>
      <c r="D570" s="6" t="s">
        <v>2460</v>
      </c>
      <c r="E570" s="6" t="s">
        <v>61</v>
      </c>
      <c r="F570" s="6" t="s">
        <v>2137</v>
      </c>
      <c r="G570" s="6" t="s">
        <v>2451</v>
      </c>
      <c r="H570" s="7" t="n">
        <v>40</v>
      </c>
      <c r="I570" s="8" t="n">
        <v>1</v>
      </c>
      <c r="J570" s="9" t="n">
        <v>87.07</v>
      </c>
      <c r="K570" s="8" t="s">
        <v>35</v>
      </c>
      <c r="L570" s="10" t="s">
        <v>2103</v>
      </c>
      <c r="M570" s="10" t="s">
        <v>2452</v>
      </c>
      <c r="N570" s="10" t="s">
        <v>2453</v>
      </c>
      <c r="O570" s="8" t="str">
        <f aca="false">IF(M570="prescription","Yes","No")</f>
        <v>No</v>
      </c>
      <c r="P570" s="6"/>
      <c r="Q570" s="6" t="s">
        <v>2560</v>
      </c>
    </row>
    <row r="571" customFormat="false" ht="15" hidden="false" customHeight="false" outlineLevel="0" collapsed="false">
      <c r="A571" s="6" t="s">
        <v>2561</v>
      </c>
      <c r="B571" s="6" t="s">
        <v>2562</v>
      </c>
      <c r="C571" s="6" t="s">
        <v>59</v>
      </c>
      <c r="D571" s="6" t="s">
        <v>2460</v>
      </c>
      <c r="E571" s="6" t="s">
        <v>61</v>
      </c>
      <c r="F571" s="6" t="s">
        <v>2137</v>
      </c>
      <c r="G571" s="6" t="s">
        <v>2451</v>
      </c>
      <c r="H571" s="7" t="n">
        <v>50</v>
      </c>
      <c r="I571" s="8" t="n">
        <v>1</v>
      </c>
      <c r="J571" s="9" t="n">
        <v>58.7</v>
      </c>
      <c r="K571" s="8" t="s">
        <v>35</v>
      </c>
      <c r="L571" s="10" t="s">
        <v>2103</v>
      </c>
      <c r="M571" s="10" t="s">
        <v>2452</v>
      </c>
      <c r="N571" s="10" t="s">
        <v>2453</v>
      </c>
      <c r="O571" s="8" t="str">
        <f aca="false">IF(M571="prescription","Yes","No")</f>
        <v>No</v>
      </c>
      <c r="P571" s="6"/>
      <c r="Q571" s="6" t="s">
        <v>2563</v>
      </c>
    </row>
    <row r="572" customFormat="false" ht="15" hidden="false" customHeight="false" outlineLevel="0" collapsed="false">
      <c r="A572" s="6" t="s">
        <v>2564</v>
      </c>
      <c r="B572" s="6" t="s">
        <v>2565</v>
      </c>
      <c r="C572" s="6" t="s">
        <v>59</v>
      </c>
      <c r="D572" s="6" t="s">
        <v>2450</v>
      </c>
      <c r="E572" s="6" t="s">
        <v>61</v>
      </c>
      <c r="F572" s="6" t="s">
        <v>2137</v>
      </c>
      <c r="G572" s="6" t="s">
        <v>2451</v>
      </c>
      <c r="H572" s="7" t="n">
        <v>73</v>
      </c>
      <c r="I572" s="8" t="n">
        <v>1</v>
      </c>
      <c r="J572" s="9" t="n">
        <v>269.43</v>
      </c>
      <c r="K572" s="8" t="s">
        <v>35</v>
      </c>
      <c r="L572" s="10" t="s">
        <v>2103</v>
      </c>
      <c r="M572" s="10" t="s">
        <v>2452</v>
      </c>
      <c r="N572" s="10" t="s">
        <v>2453</v>
      </c>
      <c r="O572" s="8" t="str">
        <f aca="false">IF(M572="prescription","Yes","No")</f>
        <v>No</v>
      </c>
      <c r="P572" s="6"/>
      <c r="Q572" s="6" t="s">
        <v>2566</v>
      </c>
    </row>
    <row r="573" customFormat="false" ht="15" hidden="false" customHeight="false" outlineLevel="0" collapsed="false">
      <c r="A573" s="6" t="s">
        <v>2567</v>
      </c>
      <c r="B573" s="6" t="s">
        <v>2568</v>
      </c>
      <c r="C573" s="6" t="s">
        <v>59</v>
      </c>
      <c r="D573" s="6" t="s">
        <v>2569</v>
      </c>
      <c r="E573" s="6" t="s">
        <v>61</v>
      </c>
      <c r="F573" s="6" t="s">
        <v>2137</v>
      </c>
      <c r="G573" s="6" t="s">
        <v>2569</v>
      </c>
      <c r="H573" s="7" t="n">
        <v>1</v>
      </c>
      <c r="I573" s="8" t="n">
        <v>1</v>
      </c>
      <c r="J573" s="9" t="n">
        <v>1913.44</v>
      </c>
      <c r="K573" s="8" t="s">
        <v>35</v>
      </c>
      <c r="L573" s="10" t="s">
        <v>2103</v>
      </c>
      <c r="M573" s="10" t="s">
        <v>2452</v>
      </c>
      <c r="N573" s="10" t="s">
        <v>2570</v>
      </c>
      <c r="O573" s="8" t="str">
        <f aca="false">IF(M573="prescription","Yes","No")</f>
        <v>No</v>
      </c>
      <c r="P573" s="6"/>
      <c r="Q573" s="6" t="s">
        <v>2571</v>
      </c>
    </row>
    <row r="574" customFormat="false" ht="15" hidden="false" customHeight="false" outlineLevel="0" collapsed="false">
      <c r="A574" s="6" t="s">
        <v>2572</v>
      </c>
      <c r="B574" s="6" t="s">
        <v>2573</v>
      </c>
      <c r="C574" s="6" t="s">
        <v>59</v>
      </c>
      <c r="D574" s="6" t="s">
        <v>2569</v>
      </c>
      <c r="E574" s="6" t="s">
        <v>61</v>
      </c>
      <c r="F574" s="6" t="s">
        <v>2137</v>
      </c>
      <c r="G574" s="6" t="s">
        <v>2569</v>
      </c>
      <c r="H574" s="7" t="n">
        <v>10</v>
      </c>
      <c r="I574" s="8" t="n">
        <v>1</v>
      </c>
      <c r="J574" s="9" t="n">
        <v>1750</v>
      </c>
      <c r="K574" s="8" t="s">
        <v>35</v>
      </c>
      <c r="L574" s="10" t="s">
        <v>2103</v>
      </c>
      <c r="M574" s="10" t="s">
        <v>2452</v>
      </c>
      <c r="N574" s="10" t="s">
        <v>2570</v>
      </c>
      <c r="O574" s="8" t="str">
        <f aca="false">IF(M574="prescription","Yes","No")</f>
        <v>No</v>
      </c>
      <c r="P574" s="6"/>
      <c r="Q574" s="6" t="s">
        <v>2574</v>
      </c>
    </row>
    <row r="575" customFormat="false" ht="15" hidden="false" customHeight="false" outlineLevel="0" collapsed="false">
      <c r="A575" s="6" t="s">
        <v>2575</v>
      </c>
      <c r="B575" s="6" t="s">
        <v>2576</v>
      </c>
      <c r="C575" s="6" t="s">
        <v>59</v>
      </c>
      <c r="D575" s="6" t="s">
        <v>2569</v>
      </c>
      <c r="E575" s="6" t="s">
        <v>61</v>
      </c>
      <c r="F575" s="6" t="s">
        <v>2137</v>
      </c>
      <c r="G575" s="6" t="s">
        <v>2569</v>
      </c>
      <c r="H575" s="7" t="n">
        <v>5</v>
      </c>
      <c r="I575" s="8" t="n">
        <v>1</v>
      </c>
      <c r="J575" s="9" t="n">
        <v>1750</v>
      </c>
      <c r="K575" s="8" t="s">
        <v>35</v>
      </c>
      <c r="L575" s="10" t="s">
        <v>2103</v>
      </c>
      <c r="M575" s="10" t="s">
        <v>2452</v>
      </c>
      <c r="N575" s="10" t="s">
        <v>2570</v>
      </c>
      <c r="O575" s="8" t="str">
        <f aca="false">IF(M575="prescription","Yes","No")</f>
        <v>No</v>
      </c>
      <c r="P575" s="6"/>
      <c r="Q575" s="6" t="s">
        <v>2577</v>
      </c>
    </row>
    <row r="576" customFormat="false" ht="15" hidden="false" customHeight="false" outlineLevel="0" collapsed="false">
      <c r="A576" s="6" t="s">
        <v>2578</v>
      </c>
      <c r="B576" s="6" t="s">
        <v>2579</v>
      </c>
      <c r="C576" s="6" t="s">
        <v>59</v>
      </c>
      <c r="D576" s="6" t="s">
        <v>2569</v>
      </c>
      <c r="E576" s="6" t="s">
        <v>61</v>
      </c>
      <c r="F576" s="6" t="s">
        <v>2137</v>
      </c>
      <c r="G576" s="6" t="s">
        <v>2569</v>
      </c>
      <c r="H576" s="7" t="n">
        <v>780</v>
      </c>
      <c r="I576" s="8" t="n">
        <v>1</v>
      </c>
      <c r="J576" s="9" t="n">
        <v>201.86</v>
      </c>
      <c r="K576" s="8" t="s">
        <v>35</v>
      </c>
      <c r="L576" s="10" t="s">
        <v>2103</v>
      </c>
      <c r="M576" s="10" t="s">
        <v>2452</v>
      </c>
      <c r="N576" s="10" t="s">
        <v>2570</v>
      </c>
      <c r="O576" s="8" t="str">
        <f aca="false">IF(M576="prescription","Yes","No")</f>
        <v>No</v>
      </c>
      <c r="P576" s="6"/>
      <c r="Q576" s="6" t="s">
        <v>2580</v>
      </c>
    </row>
    <row r="577" customFormat="false" ht="15" hidden="false" customHeight="false" outlineLevel="0" collapsed="false">
      <c r="A577" s="6" t="s">
        <v>2581</v>
      </c>
      <c r="B577" s="6" t="s">
        <v>2582</v>
      </c>
      <c r="C577" s="6" t="s">
        <v>59</v>
      </c>
      <c r="D577" s="6" t="s">
        <v>2569</v>
      </c>
      <c r="E577" s="6" t="s">
        <v>61</v>
      </c>
      <c r="F577" s="6" t="s">
        <v>2137</v>
      </c>
      <c r="G577" s="6" t="s">
        <v>2569</v>
      </c>
      <c r="H577" s="7" t="n">
        <v>100</v>
      </c>
      <c r="I577" s="8" t="n">
        <v>1</v>
      </c>
      <c r="J577" s="9" t="n">
        <v>201.86</v>
      </c>
      <c r="K577" s="8" t="s">
        <v>35</v>
      </c>
      <c r="L577" s="10" t="s">
        <v>2103</v>
      </c>
      <c r="M577" s="10" t="s">
        <v>2452</v>
      </c>
      <c r="N577" s="10" t="s">
        <v>2570</v>
      </c>
      <c r="O577" s="8" t="str">
        <f aca="false">IF(M577="prescription","Yes","No")</f>
        <v>No</v>
      </c>
      <c r="P577" s="6"/>
      <c r="Q577" s="6" t="s">
        <v>2583</v>
      </c>
    </row>
    <row r="578" customFormat="false" ht="15" hidden="false" customHeight="false" outlineLevel="0" collapsed="false">
      <c r="A578" s="6" t="s">
        <v>2584</v>
      </c>
      <c r="B578" s="6" t="s">
        <v>2585</v>
      </c>
      <c r="C578" s="6" t="s">
        <v>59</v>
      </c>
      <c r="D578" s="6" t="s">
        <v>2569</v>
      </c>
      <c r="E578" s="6" t="s">
        <v>61</v>
      </c>
      <c r="F578" s="6" t="s">
        <v>2137</v>
      </c>
      <c r="G578" s="6" t="s">
        <v>2569</v>
      </c>
      <c r="H578" s="7" t="n">
        <v>18</v>
      </c>
      <c r="I578" s="8" t="n">
        <v>1</v>
      </c>
      <c r="J578" s="9" t="n">
        <v>1050</v>
      </c>
      <c r="K578" s="8" t="s">
        <v>35</v>
      </c>
      <c r="L578" s="10" t="s">
        <v>2103</v>
      </c>
      <c r="M578" s="10" t="s">
        <v>2452</v>
      </c>
      <c r="N578" s="10" t="s">
        <v>2570</v>
      </c>
      <c r="O578" s="8" t="str">
        <f aca="false">IF(M578="prescription","Yes","No")</f>
        <v>No</v>
      </c>
      <c r="P578" s="6"/>
      <c r="Q578" s="6" t="s">
        <v>2586</v>
      </c>
    </row>
    <row r="579" customFormat="false" ht="15" hidden="false" customHeight="false" outlineLevel="0" collapsed="false">
      <c r="A579" s="6" t="s">
        <v>2587</v>
      </c>
      <c r="B579" s="6" t="s">
        <v>2588</v>
      </c>
      <c r="C579" s="6" t="s">
        <v>59</v>
      </c>
      <c r="D579" s="6" t="s">
        <v>2569</v>
      </c>
      <c r="E579" s="6" t="s">
        <v>61</v>
      </c>
      <c r="F579" s="6" t="s">
        <v>2137</v>
      </c>
      <c r="G579" s="6" t="s">
        <v>2569</v>
      </c>
      <c r="H579" s="7" t="n">
        <v>10</v>
      </c>
      <c r="I579" s="8" t="n">
        <v>1</v>
      </c>
      <c r="J579" s="9" t="n">
        <v>291.81</v>
      </c>
      <c r="K579" s="8" t="s">
        <v>35</v>
      </c>
      <c r="L579" s="10" t="s">
        <v>2103</v>
      </c>
      <c r="M579" s="10" t="s">
        <v>2452</v>
      </c>
      <c r="N579" s="10" t="s">
        <v>2570</v>
      </c>
      <c r="O579" s="8" t="str">
        <f aca="false">IF(M579="prescription","Yes","No")</f>
        <v>No</v>
      </c>
      <c r="P579" s="6"/>
      <c r="Q579" s="6" t="s">
        <v>2589</v>
      </c>
    </row>
    <row r="580" customFormat="false" ht="15" hidden="false" customHeight="false" outlineLevel="0" collapsed="false">
      <c r="A580" s="6" t="s">
        <v>2590</v>
      </c>
      <c r="B580" s="6" t="s">
        <v>2591</v>
      </c>
      <c r="C580" s="6" t="s">
        <v>59</v>
      </c>
      <c r="D580" s="6" t="s">
        <v>2569</v>
      </c>
      <c r="E580" s="6" t="s">
        <v>61</v>
      </c>
      <c r="F580" s="6" t="s">
        <v>2137</v>
      </c>
      <c r="G580" s="6" t="s">
        <v>2569</v>
      </c>
      <c r="H580" s="7" t="n">
        <v>8</v>
      </c>
      <c r="I580" s="8" t="n">
        <v>1</v>
      </c>
      <c r="J580" s="9" t="n">
        <v>291.81</v>
      </c>
      <c r="K580" s="8" t="s">
        <v>35</v>
      </c>
      <c r="L580" s="10" t="s">
        <v>2103</v>
      </c>
      <c r="M580" s="10" t="s">
        <v>2452</v>
      </c>
      <c r="N580" s="10" t="s">
        <v>2570</v>
      </c>
      <c r="O580" s="8" t="str">
        <f aca="false">IF(M580="prescription","Yes","No")</f>
        <v>No</v>
      </c>
      <c r="P580" s="6"/>
      <c r="Q580" s="6" t="s">
        <v>2592</v>
      </c>
    </row>
    <row r="581" customFormat="false" ht="15" hidden="false" customHeight="false" outlineLevel="0" collapsed="false">
      <c r="A581" s="6" t="s">
        <v>2593</v>
      </c>
      <c r="B581" s="6" t="s">
        <v>2594</v>
      </c>
      <c r="C581" s="6" t="s">
        <v>59</v>
      </c>
      <c r="D581" s="6" t="s">
        <v>2569</v>
      </c>
      <c r="E581" s="6" t="s">
        <v>61</v>
      </c>
      <c r="F581" s="6" t="s">
        <v>2137</v>
      </c>
      <c r="G581" s="6" t="s">
        <v>2569</v>
      </c>
      <c r="H581" s="7" t="n">
        <v>690</v>
      </c>
      <c r="I581" s="8" t="n">
        <v>1</v>
      </c>
      <c r="J581" s="9" t="n">
        <v>77.68</v>
      </c>
      <c r="K581" s="8" t="s">
        <v>35</v>
      </c>
      <c r="L581" s="10" t="s">
        <v>2103</v>
      </c>
      <c r="M581" s="10" t="s">
        <v>2452</v>
      </c>
      <c r="N581" s="10" t="s">
        <v>2570</v>
      </c>
      <c r="O581" s="8" t="str">
        <f aca="false">IF(M581="prescription","Yes","No")</f>
        <v>No</v>
      </c>
      <c r="P581" s="6"/>
      <c r="Q581" s="6" t="s">
        <v>2595</v>
      </c>
    </row>
    <row r="582" customFormat="false" ht="15" hidden="false" customHeight="false" outlineLevel="0" collapsed="false">
      <c r="A582" s="6" t="s">
        <v>2596</v>
      </c>
      <c r="B582" s="6" t="s">
        <v>2597</v>
      </c>
      <c r="C582" s="6" t="s">
        <v>59</v>
      </c>
      <c r="D582" s="6" t="s">
        <v>2569</v>
      </c>
      <c r="E582" s="6" t="s">
        <v>61</v>
      </c>
      <c r="F582" s="6" t="s">
        <v>2137</v>
      </c>
      <c r="G582" s="6" t="s">
        <v>2569</v>
      </c>
      <c r="H582" s="7" t="n">
        <v>169</v>
      </c>
      <c r="I582" s="8" t="n">
        <v>1</v>
      </c>
      <c r="J582" s="9" t="n">
        <v>375.51</v>
      </c>
      <c r="K582" s="8" t="s">
        <v>35</v>
      </c>
      <c r="L582" s="10" t="s">
        <v>2103</v>
      </c>
      <c r="M582" s="10" t="s">
        <v>2452</v>
      </c>
      <c r="N582" s="10" t="s">
        <v>2570</v>
      </c>
      <c r="O582" s="8" t="str">
        <f aca="false">IF(M582="prescription","Yes","No")</f>
        <v>No</v>
      </c>
      <c r="P582" s="6"/>
      <c r="Q582" s="6" t="s">
        <v>2598</v>
      </c>
    </row>
    <row r="583" customFormat="false" ht="15" hidden="false" customHeight="false" outlineLevel="0" collapsed="false">
      <c r="A583" s="6" t="s">
        <v>2599</v>
      </c>
      <c r="B583" s="6" t="s">
        <v>2600</v>
      </c>
      <c r="C583" s="6" t="s">
        <v>59</v>
      </c>
      <c r="D583" s="6" t="s">
        <v>2569</v>
      </c>
      <c r="E583" s="6" t="s">
        <v>61</v>
      </c>
      <c r="F583" s="6" t="s">
        <v>2137</v>
      </c>
      <c r="G583" s="6" t="s">
        <v>2569</v>
      </c>
      <c r="H583" s="7" t="n">
        <v>4</v>
      </c>
      <c r="I583" s="8" t="n">
        <v>1</v>
      </c>
      <c r="J583" s="9" t="n">
        <v>733.06</v>
      </c>
      <c r="K583" s="8" t="s">
        <v>35</v>
      </c>
      <c r="L583" s="10" t="s">
        <v>2103</v>
      </c>
      <c r="M583" s="10" t="s">
        <v>2452</v>
      </c>
      <c r="N583" s="10" t="s">
        <v>2570</v>
      </c>
      <c r="O583" s="8" t="str">
        <f aca="false">IF(M583="prescription","Yes","No")</f>
        <v>No</v>
      </c>
      <c r="P583" s="6"/>
      <c r="Q583" s="6" t="s">
        <v>2601</v>
      </c>
    </row>
    <row r="584" customFormat="false" ht="15" hidden="false" customHeight="false" outlineLevel="0" collapsed="false">
      <c r="A584" s="6" t="s">
        <v>2602</v>
      </c>
      <c r="B584" s="6" t="s">
        <v>2603</v>
      </c>
      <c r="C584" s="6" t="s">
        <v>59</v>
      </c>
      <c r="D584" s="6" t="s">
        <v>2569</v>
      </c>
      <c r="E584" s="6" t="s">
        <v>61</v>
      </c>
      <c r="F584" s="6" t="s">
        <v>2137</v>
      </c>
      <c r="G584" s="6" t="s">
        <v>2569</v>
      </c>
      <c r="H584" s="7" t="n">
        <v>5</v>
      </c>
      <c r="I584" s="8" t="n">
        <v>1</v>
      </c>
      <c r="J584" s="9" t="n">
        <v>733.06</v>
      </c>
      <c r="K584" s="8" t="s">
        <v>35</v>
      </c>
      <c r="L584" s="10" t="s">
        <v>2103</v>
      </c>
      <c r="M584" s="10" t="s">
        <v>2452</v>
      </c>
      <c r="N584" s="10" t="s">
        <v>2570</v>
      </c>
      <c r="O584" s="8" t="str">
        <f aca="false">IF(M584="prescription","Yes","No")</f>
        <v>No</v>
      </c>
      <c r="P584" s="6"/>
      <c r="Q584" s="6" t="s">
        <v>2604</v>
      </c>
    </row>
    <row r="585" customFormat="false" ht="15" hidden="false" customHeight="false" outlineLevel="0" collapsed="false">
      <c r="A585" s="6" t="s">
        <v>2605</v>
      </c>
      <c r="B585" s="6" t="s">
        <v>2606</v>
      </c>
      <c r="C585" s="6" t="s">
        <v>59</v>
      </c>
      <c r="D585" s="6" t="s">
        <v>2569</v>
      </c>
      <c r="E585" s="6" t="s">
        <v>61</v>
      </c>
      <c r="F585" s="6" t="s">
        <v>2137</v>
      </c>
      <c r="G585" s="6" t="s">
        <v>2569</v>
      </c>
      <c r="H585" s="7" t="n">
        <v>14</v>
      </c>
      <c r="I585" s="8" t="n">
        <v>1</v>
      </c>
      <c r="J585" s="9" t="n">
        <v>529.5</v>
      </c>
      <c r="K585" s="8" t="s">
        <v>35</v>
      </c>
      <c r="L585" s="10" t="s">
        <v>2103</v>
      </c>
      <c r="M585" s="10" t="s">
        <v>2452</v>
      </c>
      <c r="N585" s="10" t="s">
        <v>2570</v>
      </c>
      <c r="O585" s="8" t="str">
        <f aca="false">IF(M585="prescription","Yes","No")</f>
        <v>No</v>
      </c>
      <c r="P585" s="6"/>
      <c r="Q585" s="6" t="s">
        <v>2607</v>
      </c>
    </row>
    <row r="586" customFormat="false" ht="15" hidden="false" customHeight="false" outlineLevel="0" collapsed="false">
      <c r="A586" s="6" t="s">
        <v>2608</v>
      </c>
      <c r="B586" s="6" t="s">
        <v>2609</v>
      </c>
      <c r="C586" s="6" t="s">
        <v>59</v>
      </c>
      <c r="D586" s="6" t="s">
        <v>2569</v>
      </c>
      <c r="E586" s="6" t="s">
        <v>61</v>
      </c>
      <c r="F586" s="6" t="s">
        <v>2137</v>
      </c>
      <c r="G586" s="6" t="s">
        <v>2569</v>
      </c>
      <c r="H586" s="7" t="n">
        <v>22</v>
      </c>
      <c r="I586" s="8" t="n">
        <v>1</v>
      </c>
      <c r="J586" s="9" t="n">
        <v>420.81</v>
      </c>
      <c r="K586" s="8" t="s">
        <v>35</v>
      </c>
      <c r="L586" s="10" t="s">
        <v>2103</v>
      </c>
      <c r="M586" s="10" t="s">
        <v>2452</v>
      </c>
      <c r="N586" s="10" t="s">
        <v>2570</v>
      </c>
      <c r="O586" s="8" t="str">
        <f aca="false">IF(M586="prescription","Yes","No")</f>
        <v>No</v>
      </c>
      <c r="P586" s="6"/>
      <c r="Q586" s="6" t="s">
        <v>2610</v>
      </c>
    </row>
    <row r="587" customFormat="false" ht="15" hidden="false" customHeight="false" outlineLevel="0" collapsed="false">
      <c r="A587" s="6" t="s">
        <v>2611</v>
      </c>
      <c r="B587" s="6" t="s">
        <v>2612</v>
      </c>
      <c r="C587" s="6" t="s">
        <v>59</v>
      </c>
      <c r="D587" s="6" t="s">
        <v>2569</v>
      </c>
      <c r="E587" s="6" t="s">
        <v>61</v>
      </c>
      <c r="F587" s="6" t="s">
        <v>2137</v>
      </c>
      <c r="G587" s="6" t="s">
        <v>2569</v>
      </c>
      <c r="H587" s="7" t="n">
        <v>3</v>
      </c>
      <c r="I587" s="8" t="n">
        <v>1</v>
      </c>
      <c r="J587" s="9" t="n">
        <v>1750</v>
      </c>
      <c r="K587" s="8" t="s">
        <v>35</v>
      </c>
      <c r="L587" s="10" t="s">
        <v>2103</v>
      </c>
      <c r="M587" s="10" t="s">
        <v>2452</v>
      </c>
      <c r="N587" s="10" t="s">
        <v>2570</v>
      </c>
      <c r="O587" s="8" t="str">
        <f aca="false">IF(M587="prescription","Yes","No")</f>
        <v>No</v>
      </c>
      <c r="P587" s="6"/>
      <c r="Q587" s="6" t="s">
        <v>2613</v>
      </c>
    </row>
    <row r="588" customFormat="false" ht="15" hidden="false" customHeight="false" outlineLevel="0" collapsed="false">
      <c r="A588" s="6" t="s">
        <v>2614</v>
      </c>
      <c r="B588" s="6" t="s">
        <v>2615</v>
      </c>
      <c r="C588" s="6" t="s">
        <v>59</v>
      </c>
      <c r="D588" s="6" t="s">
        <v>2569</v>
      </c>
      <c r="E588" s="6" t="s">
        <v>61</v>
      </c>
      <c r="F588" s="6" t="s">
        <v>2137</v>
      </c>
      <c r="G588" s="6" t="s">
        <v>2569</v>
      </c>
      <c r="H588" s="7" t="n">
        <v>5</v>
      </c>
      <c r="I588" s="8" t="n">
        <v>1</v>
      </c>
      <c r="J588" s="9" t="n">
        <v>733.06</v>
      </c>
      <c r="K588" s="8" t="s">
        <v>35</v>
      </c>
      <c r="L588" s="10" t="s">
        <v>2103</v>
      </c>
      <c r="M588" s="10" t="s">
        <v>2452</v>
      </c>
      <c r="N588" s="10" t="s">
        <v>2570</v>
      </c>
      <c r="O588" s="8" t="str">
        <f aca="false">IF(M588="prescription","Yes","No")</f>
        <v>No</v>
      </c>
      <c r="P588" s="6"/>
      <c r="Q588" s="6" t="s">
        <v>2616</v>
      </c>
    </row>
    <row r="589" customFormat="false" ht="15" hidden="false" customHeight="false" outlineLevel="0" collapsed="false">
      <c r="A589" s="6" t="s">
        <v>2617</v>
      </c>
      <c r="B589" s="6" t="s">
        <v>2618</v>
      </c>
      <c r="C589" s="6" t="s">
        <v>2619</v>
      </c>
      <c r="D589" s="6" t="s">
        <v>2620</v>
      </c>
      <c r="E589" s="6" t="s">
        <v>48</v>
      </c>
      <c r="F589" s="6" t="s">
        <v>2137</v>
      </c>
      <c r="G589" s="6" t="s">
        <v>2621</v>
      </c>
      <c r="H589" s="7" t="n">
        <v>2</v>
      </c>
      <c r="I589" s="8" t="n">
        <v>1</v>
      </c>
      <c r="J589" s="9" t="n">
        <v>2100</v>
      </c>
      <c r="K589" s="8" t="s">
        <v>35</v>
      </c>
      <c r="L589" s="10" t="s">
        <v>2103</v>
      </c>
      <c r="M589" s="10" t="s">
        <v>2452</v>
      </c>
      <c r="N589" s="10" t="s">
        <v>2622</v>
      </c>
      <c r="O589" s="8" t="str">
        <f aca="false">IF(M589="prescription","Yes","No")</f>
        <v>No</v>
      </c>
      <c r="P589" s="6"/>
      <c r="Q589" s="6" t="s">
        <v>2623</v>
      </c>
    </row>
    <row r="590" customFormat="false" ht="15" hidden="false" customHeight="false" outlineLevel="0" collapsed="false">
      <c r="A590" s="6" t="s">
        <v>2624</v>
      </c>
      <c r="B590" s="6" t="s">
        <v>2625</v>
      </c>
      <c r="C590" s="6" t="s">
        <v>2619</v>
      </c>
      <c r="D590" s="6" t="s">
        <v>2620</v>
      </c>
      <c r="E590" s="6" t="s">
        <v>48</v>
      </c>
      <c r="F590" s="6" t="s">
        <v>2137</v>
      </c>
      <c r="G590" s="6" t="s">
        <v>2621</v>
      </c>
      <c r="H590" s="7" t="n">
        <v>11</v>
      </c>
      <c r="I590" s="8" t="n">
        <v>1</v>
      </c>
      <c r="J590" s="9" t="n">
        <v>2100</v>
      </c>
      <c r="K590" s="8" t="s">
        <v>35</v>
      </c>
      <c r="L590" s="10" t="s">
        <v>2103</v>
      </c>
      <c r="M590" s="10" t="s">
        <v>2452</v>
      </c>
      <c r="N590" s="10" t="s">
        <v>2622</v>
      </c>
      <c r="O590" s="8" t="str">
        <f aca="false">IF(M590="prescription","Yes","No")</f>
        <v>No</v>
      </c>
      <c r="P590" s="6"/>
      <c r="Q590" s="6" t="s">
        <v>2626</v>
      </c>
    </row>
    <row r="591" customFormat="false" ht="15" hidden="false" customHeight="false" outlineLevel="0" collapsed="false">
      <c r="A591" s="6" t="s">
        <v>2627</v>
      </c>
      <c r="B591" s="6" t="s">
        <v>2628</v>
      </c>
      <c r="C591" s="6" t="s">
        <v>2619</v>
      </c>
      <c r="D591" s="6" t="s">
        <v>2620</v>
      </c>
      <c r="E591" s="6" t="s">
        <v>48</v>
      </c>
      <c r="F591" s="6" t="s">
        <v>2137</v>
      </c>
      <c r="G591" s="6" t="s">
        <v>2621</v>
      </c>
      <c r="H591" s="7" t="n">
        <v>51</v>
      </c>
      <c r="I591" s="8" t="n">
        <v>1</v>
      </c>
      <c r="J591" s="9" t="n">
        <v>1744.96</v>
      </c>
      <c r="K591" s="8" t="s">
        <v>35</v>
      </c>
      <c r="L591" s="10" t="s">
        <v>2103</v>
      </c>
      <c r="M591" s="10" t="s">
        <v>2452</v>
      </c>
      <c r="N591" s="10" t="s">
        <v>2622</v>
      </c>
      <c r="O591" s="8" t="str">
        <f aca="false">IF(M591="prescription","Yes","No")</f>
        <v>No</v>
      </c>
      <c r="P591" s="6"/>
      <c r="Q591" s="6" t="s">
        <v>2629</v>
      </c>
    </row>
    <row r="592" customFormat="false" ht="15" hidden="false" customHeight="false" outlineLevel="0" collapsed="false">
      <c r="A592" s="6" t="s">
        <v>2630</v>
      </c>
      <c r="B592" s="6" t="s">
        <v>2631</v>
      </c>
      <c r="C592" s="6" t="s">
        <v>2632</v>
      </c>
      <c r="D592" s="6" t="s">
        <v>2633</v>
      </c>
      <c r="E592" s="6"/>
      <c r="F592" s="6" t="s">
        <v>2137</v>
      </c>
      <c r="G592" s="6" t="s">
        <v>2621</v>
      </c>
      <c r="H592" s="7" t="n">
        <v>2493</v>
      </c>
      <c r="I592" s="8" t="n">
        <v>1</v>
      </c>
      <c r="J592" s="9" t="n">
        <v>41.37</v>
      </c>
      <c r="K592" s="8" t="s">
        <v>35</v>
      </c>
      <c r="L592" s="10" t="s">
        <v>2103</v>
      </c>
      <c r="M592" s="10" t="s">
        <v>2452</v>
      </c>
      <c r="N592" s="10" t="s">
        <v>2622</v>
      </c>
      <c r="O592" s="8" t="str">
        <f aca="false">IF(M592="prescription","Yes","No")</f>
        <v>No</v>
      </c>
      <c r="P592" s="6"/>
      <c r="Q592" s="6" t="s">
        <v>2634</v>
      </c>
    </row>
    <row r="593" customFormat="false" ht="15" hidden="false" customHeight="false" outlineLevel="0" collapsed="false">
      <c r="A593" s="6" t="s">
        <v>2635</v>
      </c>
      <c r="B593" s="6" t="s">
        <v>2636</v>
      </c>
      <c r="C593" s="6" t="s">
        <v>59</v>
      </c>
      <c r="D593" s="6" t="s">
        <v>2637</v>
      </c>
      <c r="E593" s="6" t="s">
        <v>61</v>
      </c>
      <c r="F593" s="6" t="s">
        <v>2137</v>
      </c>
      <c r="G593" s="6" t="s">
        <v>2638</v>
      </c>
      <c r="H593" s="7" t="n">
        <v>264</v>
      </c>
      <c r="I593" s="8" t="n">
        <v>1</v>
      </c>
      <c r="J593" s="9" t="n">
        <v>347.51</v>
      </c>
      <c r="K593" s="8" t="s">
        <v>35</v>
      </c>
      <c r="L593" s="10" t="s">
        <v>2103</v>
      </c>
      <c r="M593" s="10" t="s">
        <v>2452</v>
      </c>
      <c r="N593" s="10" t="s">
        <v>2639</v>
      </c>
      <c r="O593" s="8" t="str">
        <f aca="false">IF(M593="prescription","Yes","No")</f>
        <v>No</v>
      </c>
      <c r="P593" s="6"/>
      <c r="Q593" s="6" t="s">
        <v>2640</v>
      </c>
    </row>
    <row r="594" customFormat="false" ht="15" hidden="false" customHeight="false" outlineLevel="0" collapsed="false">
      <c r="A594" s="6" t="s">
        <v>2641</v>
      </c>
      <c r="B594" s="6" t="s">
        <v>2642</v>
      </c>
      <c r="C594" s="6" t="s">
        <v>59</v>
      </c>
      <c r="D594" s="6" t="s">
        <v>2643</v>
      </c>
      <c r="E594" s="6" t="s">
        <v>61</v>
      </c>
      <c r="F594" s="6" t="s">
        <v>2137</v>
      </c>
      <c r="G594" s="6" t="s">
        <v>2643</v>
      </c>
      <c r="H594" s="7" t="n">
        <v>49</v>
      </c>
      <c r="I594" s="8" t="n">
        <v>1</v>
      </c>
      <c r="J594" s="9" t="n">
        <v>840</v>
      </c>
      <c r="K594" s="8" t="s">
        <v>35</v>
      </c>
      <c r="L594" s="10" t="s">
        <v>2103</v>
      </c>
      <c r="M594" s="10" t="s">
        <v>2452</v>
      </c>
      <c r="N594" s="10" t="s">
        <v>2644</v>
      </c>
      <c r="O594" s="8" t="str">
        <f aca="false">IF(M594="prescription","Yes","No")</f>
        <v>No</v>
      </c>
      <c r="P594" s="6"/>
      <c r="Q594" s="6" t="s">
        <v>2645</v>
      </c>
    </row>
    <row r="595" customFormat="false" ht="15" hidden="false" customHeight="false" outlineLevel="0" collapsed="false">
      <c r="A595" s="6" t="s">
        <v>2646</v>
      </c>
      <c r="B595" s="6" t="s">
        <v>2647</v>
      </c>
      <c r="C595" s="6" t="s">
        <v>59</v>
      </c>
      <c r="D595" s="6" t="s">
        <v>2643</v>
      </c>
      <c r="E595" s="6" t="s">
        <v>61</v>
      </c>
      <c r="F595" s="6" t="s">
        <v>2137</v>
      </c>
      <c r="G595" s="6" t="s">
        <v>2643</v>
      </c>
      <c r="H595" s="7" t="n">
        <v>11</v>
      </c>
      <c r="I595" s="8" t="n">
        <v>1</v>
      </c>
      <c r="J595" s="9" t="n">
        <v>375.51</v>
      </c>
      <c r="K595" s="8" t="s">
        <v>35</v>
      </c>
      <c r="L595" s="10" t="s">
        <v>2103</v>
      </c>
      <c r="M595" s="10" t="s">
        <v>2452</v>
      </c>
      <c r="N595" s="10" t="s">
        <v>2644</v>
      </c>
      <c r="O595" s="8" t="str">
        <f aca="false">IF(M595="prescription","Yes","No")</f>
        <v>No</v>
      </c>
      <c r="P595" s="6"/>
      <c r="Q595" s="6" t="s">
        <v>2648</v>
      </c>
    </row>
    <row r="596" customFormat="false" ht="15" hidden="false" customHeight="false" outlineLevel="0" collapsed="false">
      <c r="A596" s="6" t="s">
        <v>2649</v>
      </c>
      <c r="B596" s="6" t="s">
        <v>2650</v>
      </c>
      <c r="C596" s="6" t="s">
        <v>59</v>
      </c>
      <c r="D596" s="6" t="s">
        <v>2643</v>
      </c>
      <c r="E596" s="6" t="s">
        <v>61</v>
      </c>
      <c r="F596" s="6" t="s">
        <v>2137</v>
      </c>
      <c r="G596" s="6" t="s">
        <v>2643</v>
      </c>
      <c r="H596" s="7" t="n">
        <v>3</v>
      </c>
      <c r="I596" s="8" t="n">
        <v>1</v>
      </c>
      <c r="J596" s="9" t="n">
        <v>1148</v>
      </c>
      <c r="K596" s="8" t="s">
        <v>35</v>
      </c>
      <c r="L596" s="10" t="s">
        <v>2103</v>
      </c>
      <c r="M596" s="10" t="s">
        <v>2452</v>
      </c>
      <c r="N596" s="10" t="s">
        <v>2644</v>
      </c>
      <c r="O596" s="8" t="str">
        <f aca="false">IF(M596="prescription","Yes","No")</f>
        <v>No</v>
      </c>
      <c r="P596" s="6"/>
      <c r="Q596" s="6" t="s">
        <v>2651</v>
      </c>
    </row>
    <row r="597" customFormat="false" ht="15" hidden="false" customHeight="false" outlineLevel="0" collapsed="false">
      <c r="A597" s="6" t="s">
        <v>2652</v>
      </c>
      <c r="B597" s="6" t="s">
        <v>2653</v>
      </c>
      <c r="C597" s="6" t="s">
        <v>59</v>
      </c>
      <c r="D597" s="6" t="s">
        <v>2643</v>
      </c>
      <c r="E597" s="6" t="s">
        <v>61</v>
      </c>
      <c r="F597" s="6" t="s">
        <v>2137</v>
      </c>
      <c r="G597" s="6" t="s">
        <v>2643</v>
      </c>
      <c r="H597" s="7" t="n">
        <v>9</v>
      </c>
      <c r="I597" s="8" t="n">
        <v>1</v>
      </c>
      <c r="J597" s="9" t="n">
        <v>375.51</v>
      </c>
      <c r="K597" s="8" t="s">
        <v>35</v>
      </c>
      <c r="L597" s="10" t="s">
        <v>2103</v>
      </c>
      <c r="M597" s="10" t="s">
        <v>2452</v>
      </c>
      <c r="N597" s="10" t="s">
        <v>2644</v>
      </c>
      <c r="O597" s="8" t="str">
        <f aca="false">IF(M597="prescription","Yes","No")</f>
        <v>No</v>
      </c>
      <c r="P597" s="6"/>
      <c r="Q597" s="6" t="s">
        <v>2654</v>
      </c>
    </row>
    <row r="598" customFormat="false" ht="15" hidden="false" customHeight="false" outlineLevel="0" collapsed="false">
      <c r="A598" s="6" t="s">
        <v>2655</v>
      </c>
      <c r="B598" s="6" t="s">
        <v>2656</v>
      </c>
      <c r="C598" s="6" t="s">
        <v>59</v>
      </c>
      <c r="D598" s="6" t="s">
        <v>2657</v>
      </c>
      <c r="E598" s="6" t="s">
        <v>61</v>
      </c>
      <c r="F598" s="6" t="s">
        <v>2137</v>
      </c>
      <c r="G598" s="6" t="s">
        <v>2658</v>
      </c>
      <c r="H598" s="7" t="n">
        <v>214</v>
      </c>
      <c r="I598" s="8" t="n">
        <v>1</v>
      </c>
      <c r="J598" s="9" t="n">
        <v>39.43</v>
      </c>
      <c r="K598" s="8" t="s">
        <v>35</v>
      </c>
      <c r="L598" s="10" t="s">
        <v>2103</v>
      </c>
      <c r="M598" s="10" t="s">
        <v>2452</v>
      </c>
      <c r="N598" s="10" t="s">
        <v>2659</v>
      </c>
      <c r="O598" s="8" t="str">
        <f aca="false">IF(M598="prescription","Yes","No")</f>
        <v>No</v>
      </c>
      <c r="P598" s="6"/>
      <c r="Q598" s="6" t="s">
        <v>2660</v>
      </c>
    </row>
    <row r="599" customFormat="false" ht="15" hidden="false" customHeight="false" outlineLevel="0" collapsed="false">
      <c r="A599" s="6" t="s">
        <v>2661</v>
      </c>
      <c r="B599" s="6" t="s">
        <v>2662</v>
      </c>
      <c r="C599" s="6" t="s">
        <v>59</v>
      </c>
      <c r="D599" s="6" t="s">
        <v>2657</v>
      </c>
      <c r="E599" s="6" t="s">
        <v>61</v>
      </c>
      <c r="F599" s="6" t="s">
        <v>2137</v>
      </c>
      <c r="G599" s="6" t="s">
        <v>2658</v>
      </c>
      <c r="H599" s="7" t="n">
        <v>100</v>
      </c>
      <c r="I599" s="8" t="n">
        <v>1</v>
      </c>
      <c r="J599" s="9" t="n">
        <v>125.75</v>
      </c>
      <c r="K599" s="8" t="s">
        <v>35</v>
      </c>
      <c r="L599" s="10" t="s">
        <v>2103</v>
      </c>
      <c r="M599" s="10" t="s">
        <v>2452</v>
      </c>
      <c r="N599" s="10" t="s">
        <v>2659</v>
      </c>
      <c r="O599" s="8" t="str">
        <f aca="false">IF(M599="prescription","Yes","No")</f>
        <v>No</v>
      </c>
      <c r="P599" s="6"/>
      <c r="Q599" s="6" t="s">
        <v>2663</v>
      </c>
    </row>
    <row r="600" customFormat="false" ht="15" hidden="false" customHeight="false" outlineLevel="0" collapsed="false">
      <c r="A600" s="6" t="s">
        <v>2664</v>
      </c>
      <c r="B600" s="6" t="s">
        <v>2665</v>
      </c>
      <c r="C600" s="6" t="s">
        <v>59</v>
      </c>
      <c r="D600" s="6" t="s">
        <v>2657</v>
      </c>
      <c r="E600" s="6" t="s">
        <v>61</v>
      </c>
      <c r="F600" s="6" t="s">
        <v>2137</v>
      </c>
      <c r="G600" s="6" t="s">
        <v>2658</v>
      </c>
      <c r="H600" s="7" t="n">
        <v>206</v>
      </c>
      <c r="I600" s="8" t="n">
        <v>1</v>
      </c>
      <c r="J600" s="9" t="n">
        <v>39.43</v>
      </c>
      <c r="K600" s="8" t="s">
        <v>35</v>
      </c>
      <c r="L600" s="10" t="s">
        <v>2103</v>
      </c>
      <c r="M600" s="10" t="s">
        <v>2452</v>
      </c>
      <c r="N600" s="10" t="s">
        <v>2659</v>
      </c>
      <c r="O600" s="8" t="str">
        <f aca="false">IF(M600="prescription","Yes","No")</f>
        <v>No</v>
      </c>
      <c r="P600" s="6"/>
      <c r="Q600" s="6" t="s">
        <v>2666</v>
      </c>
    </row>
    <row r="601" customFormat="false" ht="15" hidden="false" customHeight="false" outlineLevel="0" collapsed="false">
      <c r="A601" s="6" t="s">
        <v>2667</v>
      </c>
      <c r="B601" s="6" t="s">
        <v>2668</v>
      </c>
      <c r="C601" s="6" t="s">
        <v>59</v>
      </c>
      <c r="D601" s="6" t="s">
        <v>2657</v>
      </c>
      <c r="E601" s="6" t="s">
        <v>61</v>
      </c>
      <c r="F601" s="6" t="s">
        <v>2137</v>
      </c>
      <c r="G601" s="6" t="s">
        <v>2658</v>
      </c>
      <c r="H601" s="7" t="n">
        <v>36</v>
      </c>
      <c r="I601" s="8" t="n">
        <v>1</v>
      </c>
      <c r="J601" s="9" t="n">
        <v>125.75</v>
      </c>
      <c r="K601" s="8" t="s">
        <v>35</v>
      </c>
      <c r="L601" s="10" t="s">
        <v>2103</v>
      </c>
      <c r="M601" s="10" t="s">
        <v>2452</v>
      </c>
      <c r="N601" s="10" t="s">
        <v>2659</v>
      </c>
      <c r="O601" s="8" t="str">
        <f aca="false">IF(M601="prescription","Yes","No")</f>
        <v>No</v>
      </c>
      <c r="P601" s="6"/>
      <c r="Q601" s="6" t="s">
        <v>2669</v>
      </c>
    </row>
    <row r="602" customFormat="false" ht="15" hidden="false" customHeight="false" outlineLevel="0" collapsed="false">
      <c r="A602" s="6" t="s">
        <v>2670</v>
      </c>
      <c r="B602" s="6" t="s">
        <v>2671</v>
      </c>
      <c r="C602" s="6" t="s">
        <v>59</v>
      </c>
      <c r="D602" s="6" t="s">
        <v>2657</v>
      </c>
      <c r="E602" s="6" t="s">
        <v>61</v>
      </c>
      <c r="F602" s="6" t="s">
        <v>2137</v>
      </c>
      <c r="G602" s="6" t="s">
        <v>2658</v>
      </c>
      <c r="H602" s="7" t="n">
        <v>320</v>
      </c>
      <c r="I602" s="8" t="n">
        <v>1</v>
      </c>
      <c r="J602" s="9" t="n">
        <v>96.39</v>
      </c>
      <c r="K602" s="8" t="s">
        <v>35</v>
      </c>
      <c r="L602" s="10" t="s">
        <v>2103</v>
      </c>
      <c r="M602" s="10" t="s">
        <v>2452</v>
      </c>
      <c r="N602" s="10" t="s">
        <v>2659</v>
      </c>
      <c r="O602" s="8" t="str">
        <f aca="false">IF(M602="prescription","Yes","No")</f>
        <v>No</v>
      </c>
      <c r="P602" s="6"/>
      <c r="Q602" s="6" t="s">
        <v>2672</v>
      </c>
    </row>
    <row r="603" customFormat="false" ht="15" hidden="false" customHeight="false" outlineLevel="0" collapsed="false">
      <c r="A603" s="6" t="s">
        <v>2673</v>
      </c>
      <c r="B603" s="6" t="s">
        <v>2674</v>
      </c>
      <c r="C603" s="6" t="s">
        <v>59</v>
      </c>
      <c r="D603" s="6" t="s">
        <v>2657</v>
      </c>
      <c r="E603" s="6" t="s">
        <v>61</v>
      </c>
      <c r="F603" s="6" t="s">
        <v>2137</v>
      </c>
      <c r="G603" s="6" t="s">
        <v>2658</v>
      </c>
      <c r="H603" s="7" t="n">
        <v>97</v>
      </c>
      <c r="I603" s="8" t="n">
        <v>1</v>
      </c>
      <c r="J603" s="9" t="n">
        <v>39.43</v>
      </c>
      <c r="K603" s="8" t="s">
        <v>35</v>
      </c>
      <c r="L603" s="10" t="s">
        <v>2103</v>
      </c>
      <c r="M603" s="10" t="s">
        <v>2452</v>
      </c>
      <c r="N603" s="10" t="s">
        <v>2659</v>
      </c>
      <c r="O603" s="8" t="str">
        <f aca="false">IF(M603="prescription","Yes","No")</f>
        <v>No</v>
      </c>
      <c r="P603" s="6"/>
      <c r="Q603" s="6" t="s">
        <v>2675</v>
      </c>
    </row>
    <row r="604" customFormat="false" ht="15" hidden="false" customHeight="false" outlineLevel="0" collapsed="false">
      <c r="A604" s="6" t="s">
        <v>2676</v>
      </c>
      <c r="B604" s="6" t="s">
        <v>2677</v>
      </c>
      <c r="C604" s="6" t="s">
        <v>59</v>
      </c>
      <c r="D604" s="6" t="s">
        <v>2678</v>
      </c>
      <c r="E604" s="6" t="s">
        <v>61</v>
      </c>
      <c r="F604" s="6" t="s">
        <v>2137</v>
      </c>
      <c r="G604" s="6" t="s">
        <v>2678</v>
      </c>
      <c r="H604" s="7" t="n">
        <v>58</v>
      </c>
      <c r="I604" s="8" t="n">
        <v>1</v>
      </c>
      <c r="J604" s="9" t="n">
        <v>49.1</v>
      </c>
      <c r="K604" s="8" t="s">
        <v>35</v>
      </c>
      <c r="L604" s="10" t="s">
        <v>2103</v>
      </c>
      <c r="M604" s="10" t="s">
        <v>2452</v>
      </c>
      <c r="N604" s="10" t="s">
        <v>2679</v>
      </c>
      <c r="O604" s="8" t="str">
        <f aca="false">IF(M604="prescription","Yes","No")</f>
        <v>No</v>
      </c>
      <c r="P604" s="6"/>
      <c r="Q604" s="6" t="s">
        <v>2680</v>
      </c>
    </row>
    <row r="605" customFormat="false" ht="15" hidden="false" customHeight="false" outlineLevel="0" collapsed="false">
      <c r="A605" s="6" t="s">
        <v>2681</v>
      </c>
      <c r="B605" s="6" t="s">
        <v>2682</v>
      </c>
      <c r="C605" s="6" t="s">
        <v>59</v>
      </c>
      <c r="D605" s="6" t="s">
        <v>2678</v>
      </c>
      <c r="E605" s="6" t="s">
        <v>61</v>
      </c>
      <c r="F605" s="6" t="s">
        <v>2137</v>
      </c>
      <c r="G605" s="6" t="s">
        <v>2678</v>
      </c>
      <c r="H605" s="7" t="n">
        <v>140</v>
      </c>
      <c r="I605" s="8" t="n">
        <v>1</v>
      </c>
      <c r="J605" s="9" t="n">
        <v>49.1</v>
      </c>
      <c r="K605" s="8" t="s">
        <v>35</v>
      </c>
      <c r="L605" s="10" t="s">
        <v>2103</v>
      </c>
      <c r="M605" s="10" t="s">
        <v>2452</v>
      </c>
      <c r="N605" s="10" t="s">
        <v>2679</v>
      </c>
      <c r="O605" s="8" t="str">
        <f aca="false">IF(M605="prescription","Yes","No")</f>
        <v>No</v>
      </c>
      <c r="P605" s="6"/>
      <c r="Q605" s="6" t="s">
        <v>2683</v>
      </c>
    </row>
    <row r="606" customFormat="false" ht="15" hidden="false" customHeight="false" outlineLevel="0" collapsed="false">
      <c r="A606" s="6" t="s">
        <v>2684</v>
      </c>
      <c r="B606" s="6" t="s">
        <v>2685</v>
      </c>
      <c r="C606" s="6" t="s">
        <v>59</v>
      </c>
      <c r="D606" s="6" t="s">
        <v>2678</v>
      </c>
      <c r="E606" s="6" t="s">
        <v>61</v>
      </c>
      <c r="F606" s="6" t="s">
        <v>2137</v>
      </c>
      <c r="G606" s="6" t="s">
        <v>2678</v>
      </c>
      <c r="H606" s="7" t="n">
        <v>100</v>
      </c>
      <c r="I606" s="8" t="n">
        <v>1</v>
      </c>
      <c r="J606" s="9" t="n">
        <v>96.39</v>
      </c>
      <c r="K606" s="8" t="s">
        <v>35</v>
      </c>
      <c r="L606" s="10" t="s">
        <v>2103</v>
      </c>
      <c r="M606" s="10" t="s">
        <v>2452</v>
      </c>
      <c r="N606" s="10" t="s">
        <v>2679</v>
      </c>
      <c r="O606" s="8" t="str">
        <f aca="false">IF(M606="prescription","Yes","No")</f>
        <v>No</v>
      </c>
      <c r="P606" s="6"/>
      <c r="Q606" s="6" t="s">
        <v>2686</v>
      </c>
    </row>
    <row r="607" customFormat="false" ht="15" hidden="false" customHeight="false" outlineLevel="0" collapsed="false">
      <c r="A607" s="6" t="s">
        <v>2687</v>
      </c>
      <c r="B607" s="6" t="s">
        <v>2688</v>
      </c>
      <c r="C607" s="6" t="s">
        <v>59</v>
      </c>
      <c r="D607" s="6" t="s">
        <v>2678</v>
      </c>
      <c r="E607" s="6" t="s">
        <v>61</v>
      </c>
      <c r="F607" s="6" t="s">
        <v>2137</v>
      </c>
      <c r="G607" s="6" t="s">
        <v>2678</v>
      </c>
      <c r="H607" s="7" t="n">
        <v>170</v>
      </c>
      <c r="I607" s="8" t="n">
        <v>1</v>
      </c>
      <c r="J607" s="9" t="n">
        <v>96.39</v>
      </c>
      <c r="K607" s="8" t="s">
        <v>35</v>
      </c>
      <c r="L607" s="10" t="s">
        <v>2103</v>
      </c>
      <c r="M607" s="10" t="s">
        <v>2452</v>
      </c>
      <c r="N607" s="10" t="s">
        <v>2679</v>
      </c>
      <c r="O607" s="8" t="str">
        <f aca="false">IF(M607="prescription","Yes","No")</f>
        <v>No</v>
      </c>
      <c r="P607" s="6"/>
      <c r="Q607" s="6" t="s">
        <v>2689</v>
      </c>
    </row>
    <row r="608" customFormat="false" ht="15" hidden="false" customHeight="false" outlineLevel="0" collapsed="false">
      <c r="A608" s="6" t="s">
        <v>2690</v>
      </c>
      <c r="B608" s="6" t="s">
        <v>2691</v>
      </c>
      <c r="C608" s="6" t="s">
        <v>59</v>
      </c>
      <c r="D608" s="6" t="s">
        <v>2678</v>
      </c>
      <c r="E608" s="6" t="s">
        <v>61</v>
      </c>
      <c r="F608" s="6" t="s">
        <v>2137</v>
      </c>
      <c r="G608" s="6" t="s">
        <v>2678</v>
      </c>
      <c r="H608" s="7" t="n">
        <v>130</v>
      </c>
      <c r="I608" s="8" t="n">
        <v>1</v>
      </c>
      <c r="J608" s="9" t="n">
        <v>165.03</v>
      </c>
      <c r="K608" s="8" t="s">
        <v>35</v>
      </c>
      <c r="L608" s="10" t="s">
        <v>2103</v>
      </c>
      <c r="M608" s="10" t="s">
        <v>2452</v>
      </c>
      <c r="N608" s="10" t="s">
        <v>2679</v>
      </c>
      <c r="O608" s="8" t="str">
        <f aca="false">IF(M608="prescription","Yes","No")</f>
        <v>No</v>
      </c>
      <c r="P608" s="6"/>
      <c r="Q608" s="6" t="s">
        <v>2692</v>
      </c>
    </row>
    <row r="609" customFormat="false" ht="15" hidden="false" customHeight="false" outlineLevel="0" collapsed="false">
      <c r="A609" s="6" t="s">
        <v>2693</v>
      </c>
      <c r="B609" s="6" t="s">
        <v>2694</v>
      </c>
      <c r="C609" s="6" t="s">
        <v>59</v>
      </c>
      <c r="D609" s="6" t="s">
        <v>2678</v>
      </c>
      <c r="E609" s="6" t="s">
        <v>61</v>
      </c>
      <c r="F609" s="6" t="s">
        <v>2137</v>
      </c>
      <c r="G609" s="6" t="s">
        <v>2678</v>
      </c>
      <c r="H609" s="7" t="n">
        <v>90</v>
      </c>
      <c r="I609" s="8" t="n">
        <v>1</v>
      </c>
      <c r="J609" s="9" t="n">
        <v>203.11</v>
      </c>
      <c r="K609" s="8" t="s">
        <v>35</v>
      </c>
      <c r="L609" s="10" t="s">
        <v>2103</v>
      </c>
      <c r="M609" s="10" t="s">
        <v>2452</v>
      </c>
      <c r="N609" s="10" t="s">
        <v>2679</v>
      </c>
      <c r="O609" s="8" t="str">
        <f aca="false">IF(M609="prescription","Yes","No")</f>
        <v>No</v>
      </c>
      <c r="P609" s="6"/>
      <c r="Q609" s="6" t="s">
        <v>2695</v>
      </c>
    </row>
    <row r="610" customFormat="false" ht="15" hidden="false" customHeight="false" outlineLevel="0" collapsed="false">
      <c r="A610" s="6" t="s">
        <v>2696</v>
      </c>
      <c r="B610" s="6" t="s">
        <v>2697</v>
      </c>
      <c r="C610" s="6" t="s">
        <v>59</v>
      </c>
      <c r="D610" s="6" t="s">
        <v>2678</v>
      </c>
      <c r="E610" s="6" t="s">
        <v>61</v>
      </c>
      <c r="F610" s="6" t="s">
        <v>2137</v>
      </c>
      <c r="G610" s="6" t="s">
        <v>2678</v>
      </c>
      <c r="H610" s="7" t="n">
        <v>8</v>
      </c>
      <c r="I610" s="8" t="n">
        <v>1</v>
      </c>
      <c r="J610" s="9" t="n">
        <v>185.95</v>
      </c>
      <c r="K610" s="8" t="s">
        <v>35</v>
      </c>
      <c r="L610" s="10" t="s">
        <v>2103</v>
      </c>
      <c r="M610" s="10" t="s">
        <v>2452</v>
      </c>
      <c r="N610" s="10" t="s">
        <v>2679</v>
      </c>
      <c r="O610" s="8" t="str">
        <f aca="false">IF(M610="prescription","Yes","No")</f>
        <v>No</v>
      </c>
      <c r="P610" s="6"/>
      <c r="Q610" s="6" t="s">
        <v>2698</v>
      </c>
    </row>
    <row r="611" customFormat="false" ht="15" hidden="false" customHeight="false" outlineLevel="0" collapsed="false">
      <c r="A611" s="6" t="s">
        <v>2699</v>
      </c>
      <c r="B611" s="6" t="s">
        <v>2700</v>
      </c>
      <c r="C611" s="6" t="s">
        <v>59</v>
      </c>
      <c r="D611" s="6" t="s">
        <v>2678</v>
      </c>
      <c r="E611" s="6" t="s">
        <v>61</v>
      </c>
      <c r="F611" s="6" t="s">
        <v>2137</v>
      </c>
      <c r="G611" s="6" t="s">
        <v>2678</v>
      </c>
      <c r="H611" s="7" t="n">
        <v>140</v>
      </c>
      <c r="I611" s="8" t="n">
        <v>1</v>
      </c>
      <c r="J611" s="9" t="n">
        <v>185.95</v>
      </c>
      <c r="K611" s="8" t="s">
        <v>35</v>
      </c>
      <c r="L611" s="10" t="s">
        <v>2103</v>
      </c>
      <c r="M611" s="10" t="s">
        <v>2452</v>
      </c>
      <c r="N611" s="10" t="s">
        <v>2679</v>
      </c>
      <c r="O611" s="8" t="str">
        <f aca="false">IF(M611="prescription","Yes","No")</f>
        <v>No</v>
      </c>
      <c r="P611" s="6"/>
      <c r="Q611" s="6" t="s">
        <v>2701</v>
      </c>
    </row>
    <row r="612" customFormat="false" ht="15" hidden="false" customHeight="false" outlineLevel="0" collapsed="false">
      <c r="A612" s="6" t="s">
        <v>2702</v>
      </c>
      <c r="B612" s="6" t="s">
        <v>2703</v>
      </c>
      <c r="C612" s="6" t="s">
        <v>59</v>
      </c>
      <c r="D612" s="6" t="s">
        <v>2704</v>
      </c>
      <c r="E612" s="6"/>
      <c r="F612" s="6" t="s">
        <v>2137</v>
      </c>
      <c r="G612" s="6" t="s">
        <v>2678</v>
      </c>
      <c r="H612" s="7" t="n">
        <v>7790</v>
      </c>
      <c r="I612" s="8" t="n">
        <v>1</v>
      </c>
      <c r="J612" s="9" t="n">
        <v>39.43</v>
      </c>
      <c r="K612" s="8" t="s">
        <v>35</v>
      </c>
      <c r="L612" s="10" t="s">
        <v>2103</v>
      </c>
      <c r="M612" s="10" t="s">
        <v>2452</v>
      </c>
      <c r="N612" s="10" t="s">
        <v>2679</v>
      </c>
      <c r="O612" s="8" t="str">
        <f aca="false">IF(M612="prescription","Yes","No")</f>
        <v>No</v>
      </c>
      <c r="P612" s="6"/>
      <c r="Q612" s="6" t="s">
        <v>2705</v>
      </c>
    </row>
    <row r="613" customFormat="false" ht="15" hidden="false" customHeight="false" outlineLevel="0" collapsed="false">
      <c r="A613" s="6" t="s">
        <v>2706</v>
      </c>
      <c r="B613" s="6" t="s">
        <v>2707</v>
      </c>
      <c r="C613" s="6" t="s">
        <v>59</v>
      </c>
      <c r="D613" s="6" t="s">
        <v>2678</v>
      </c>
      <c r="E613" s="6" t="s">
        <v>61</v>
      </c>
      <c r="F613" s="6" t="s">
        <v>2137</v>
      </c>
      <c r="G613" s="6" t="s">
        <v>2678</v>
      </c>
      <c r="H613" s="7" t="n">
        <v>19</v>
      </c>
      <c r="I613" s="8" t="n">
        <v>1</v>
      </c>
      <c r="J613" s="9" t="n">
        <v>58.7</v>
      </c>
      <c r="K613" s="8" t="s">
        <v>35</v>
      </c>
      <c r="L613" s="10" t="s">
        <v>2103</v>
      </c>
      <c r="M613" s="10" t="s">
        <v>2452</v>
      </c>
      <c r="N613" s="10" t="s">
        <v>2679</v>
      </c>
      <c r="O613" s="8" t="str">
        <f aca="false">IF(M613="prescription","Yes","No")</f>
        <v>No</v>
      </c>
      <c r="P613" s="6"/>
      <c r="Q613" s="6" t="s">
        <v>2708</v>
      </c>
    </row>
    <row r="614" customFormat="false" ht="15" hidden="false" customHeight="false" outlineLevel="0" collapsed="false">
      <c r="A614" s="6" t="s">
        <v>2709</v>
      </c>
      <c r="B614" s="6" t="s">
        <v>2710</v>
      </c>
      <c r="C614" s="6" t="s">
        <v>59</v>
      </c>
      <c r="D614" s="6" t="s">
        <v>2678</v>
      </c>
      <c r="E614" s="6" t="s">
        <v>61</v>
      </c>
      <c r="F614" s="6" t="s">
        <v>2137</v>
      </c>
      <c r="G614" s="6" t="s">
        <v>2678</v>
      </c>
      <c r="H614" s="7" t="n">
        <v>18</v>
      </c>
      <c r="I614" s="8" t="n">
        <v>1</v>
      </c>
      <c r="J614" s="9" t="n">
        <v>58.7</v>
      </c>
      <c r="K614" s="8" t="s">
        <v>35</v>
      </c>
      <c r="L614" s="10" t="s">
        <v>2103</v>
      </c>
      <c r="M614" s="10" t="s">
        <v>2452</v>
      </c>
      <c r="N614" s="10" t="s">
        <v>2679</v>
      </c>
      <c r="O614" s="8" t="str">
        <f aca="false">IF(M614="prescription","Yes","No")</f>
        <v>No</v>
      </c>
      <c r="P614" s="6"/>
      <c r="Q614" s="6" t="s">
        <v>2711</v>
      </c>
    </row>
    <row r="615" customFormat="false" ht="15" hidden="false" customHeight="false" outlineLevel="0" collapsed="false">
      <c r="A615" s="6" t="s">
        <v>2712</v>
      </c>
      <c r="B615" s="6" t="s">
        <v>2713</v>
      </c>
      <c r="C615" s="6" t="s">
        <v>59</v>
      </c>
      <c r="D615" s="6" t="s">
        <v>2678</v>
      </c>
      <c r="E615" s="6" t="s">
        <v>61</v>
      </c>
      <c r="F615" s="6" t="s">
        <v>2137</v>
      </c>
      <c r="G615" s="6" t="s">
        <v>2678</v>
      </c>
      <c r="H615" s="7" t="n">
        <v>55</v>
      </c>
      <c r="I615" s="8" t="n">
        <v>1</v>
      </c>
      <c r="J615" s="9" t="n">
        <v>185.95</v>
      </c>
      <c r="K615" s="8" t="s">
        <v>35</v>
      </c>
      <c r="L615" s="10" t="s">
        <v>2103</v>
      </c>
      <c r="M615" s="10" t="s">
        <v>2452</v>
      </c>
      <c r="N615" s="10" t="s">
        <v>2679</v>
      </c>
      <c r="O615" s="8" t="str">
        <f aca="false">IF(M615="prescription","Yes","No")</f>
        <v>No</v>
      </c>
      <c r="P615" s="6"/>
      <c r="Q615" s="6" t="s">
        <v>2714</v>
      </c>
    </row>
    <row r="616" customFormat="false" ht="15" hidden="false" customHeight="false" outlineLevel="0" collapsed="false">
      <c r="A616" s="6" t="s">
        <v>2715</v>
      </c>
      <c r="B616" s="6" t="s">
        <v>2716</v>
      </c>
      <c r="C616" s="6" t="s">
        <v>59</v>
      </c>
      <c r="D616" s="6" t="s">
        <v>2678</v>
      </c>
      <c r="E616" s="6" t="s">
        <v>61</v>
      </c>
      <c r="F616" s="6" t="s">
        <v>2137</v>
      </c>
      <c r="G616" s="6" t="s">
        <v>2678</v>
      </c>
      <c r="H616" s="7" t="n">
        <v>410</v>
      </c>
      <c r="I616" s="8" t="n">
        <v>1</v>
      </c>
      <c r="J616" s="9" t="n">
        <v>96.39</v>
      </c>
      <c r="K616" s="8" t="s">
        <v>35</v>
      </c>
      <c r="L616" s="10" t="s">
        <v>2103</v>
      </c>
      <c r="M616" s="10" t="s">
        <v>2452</v>
      </c>
      <c r="N616" s="10" t="s">
        <v>2679</v>
      </c>
      <c r="O616" s="8" t="str">
        <f aca="false">IF(M616="prescription","Yes","No")</f>
        <v>No</v>
      </c>
      <c r="P616" s="6"/>
      <c r="Q616" s="6" t="s">
        <v>2717</v>
      </c>
    </row>
    <row r="617" customFormat="false" ht="15" hidden="false" customHeight="false" outlineLevel="0" collapsed="false">
      <c r="A617" s="6" t="s">
        <v>2718</v>
      </c>
      <c r="B617" s="6" t="s">
        <v>2719</v>
      </c>
      <c r="C617" s="6" t="s">
        <v>59</v>
      </c>
      <c r="D617" s="6" t="s">
        <v>2678</v>
      </c>
      <c r="E617" s="6" t="s">
        <v>61</v>
      </c>
      <c r="F617" s="6" t="s">
        <v>2137</v>
      </c>
      <c r="G617" s="6" t="s">
        <v>2678</v>
      </c>
      <c r="H617" s="7" t="n">
        <v>150</v>
      </c>
      <c r="I617" s="8" t="n">
        <v>1</v>
      </c>
      <c r="J617" s="9" t="n">
        <v>150.89</v>
      </c>
      <c r="K617" s="8" t="s">
        <v>35</v>
      </c>
      <c r="L617" s="10" t="s">
        <v>2103</v>
      </c>
      <c r="M617" s="10" t="s">
        <v>2452</v>
      </c>
      <c r="N617" s="10" t="s">
        <v>2679</v>
      </c>
      <c r="O617" s="8" t="str">
        <f aca="false">IF(M617="prescription","Yes","No")</f>
        <v>No</v>
      </c>
      <c r="P617" s="6"/>
      <c r="Q617" s="6" t="s">
        <v>2720</v>
      </c>
    </row>
    <row r="618" customFormat="false" ht="15" hidden="false" customHeight="false" outlineLevel="0" collapsed="false">
      <c r="A618" s="6" t="s">
        <v>2721</v>
      </c>
      <c r="B618" s="6" t="s">
        <v>2722</v>
      </c>
      <c r="C618" s="6" t="s">
        <v>59</v>
      </c>
      <c r="D618" s="6" t="s">
        <v>2678</v>
      </c>
      <c r="E618" s="6" t="s">
        <v>61</v>
      </c>
      <c r="F618" s="6" t="s">
        <v>2137</v>
      </c>
      <c r="G618" s="6" t="s">
        <v>2678</v>
      </c>
      <c r="H618" s="7" t="n">
        <v>500</v>
      </c>
      <c r="I618" s="8" t="n">
        <v>1</v>
      </c>
      <c r="J618" s="9" t="n">
        <v>185.95</v>
      </c>
      <c r="K618" s="8" t="s">
        <v>35</v>
      </c>
      <c r="L618" s="10" t="s">
        <v>2103</v>
      </c>
      <c r="M618" s="10" t="s">
        <v>2452</v>
      </c>
      <c r="N618" s="10" t="s">
        <v>2679</v>
      </c>
      <c r="O618" s="8" t="str">
        <f aca="false">IF(M618="prescription","Yes","No")</f>
        <v>No</v>
      </c>
      <c r="P618" s="6"/>
      <c r="Q618" s="6" t="s">
        <v>2723</v>
      </c>
    </row>
    <row r="619" customFormat="false" ht="15" hidden="false" customHeight="false" outlineLevel="0" collapsed="false">
      <c r="A619" s="6" t="s">
        <v>2724</v>
      </c>
      <c r="B619" s="6" t="s">
        <v>2725</v>
      </c>
      <c r="C619" s="6" t="s">
        <v>59</v>
      </c>
      <c r="D619" s="6" t="s">
        <v>2726</v>
      </c>
      <c r="E619" s="6" t="s">
        <v>61</v>
      </c>
      <c r="F619" s="6" t="s">
        <v>2137</v>
      </c>
      <c r="G619" s="6" t="s">
        <v>2727</v>
      </c>
      <c r="H619" s="7" t="n">
        <v>1</v>
      </c>
      <c r="I619" s="8" t="n">
        <v>1</v>
      </c>
      <c r="J619" s="9" t="n">
        <v>9184</v>
      </c>
      <c r="K619" s="8" t="s">
        <v>35</v>
      </c>
      <c r="L619" s="10" t="s">
        <v>2103</v>
      </c>
      <c r="M619" s="10" t="s">
        <v>2452</v>
      </c>
      <c r="N619" s="10" t="s">
        <v>2728</v>
      </c>
      <c r="O619" s="8" t="str">
        <f aca="false">IF(M619="prescription","Yes","No")</f>
        <v>No</v>
      </c>
      <c r="P619" s="6"/>
      <c r="Q619" s="6" t="s">
        <v>2729</v>
      </c>
    </row>
    <row r="620" customFormat="false" ht="15" hidden="false" customHeight="false" outlineLevel="0" collapsed="false">
      <c r="A620" s="6" t="s">
        <v>2730</v>
      </c>
      <c r="B620" s="6" t="s">
        <v>2731</v>
      </c>
      <c r="C620" s="6" t="s">
        <v>2115</v>
      </c>
      <c r="D620" s="6"/>
      <c r="E620" s="6"/>
      <c r="F620" s="6" t="s">
        <v>2137</v>
      </c>
      <c r="G620" s="6" t="s">
        <v>2727</v>
      </c>
      <c r="H620" s="7" t="n">
        <v>6</v>
      </c>
      <c r="I620" s="8" t="n">
        <v>1</v>
      </c>
      <c r="J620" s="9" t="n">
        <v>1729</v>
      </c>
      <c r="K620" s="8" t="s">
        <v>35</v>
      </c>
      <c r="L620" s="10" t="s">
        <v>2103</v>
      </c>
      <c r="M620" s="10" t="s">
        <v>2452</v>
      </c>
      <c r="N620" s="10" t="s">
        <v>2728</v>
      </c>
      <c r="O620" s="8" t="str">
        <f aca="false">IF(M620="prescription","Yes","No")</f>
        <v>No</v>
      </c>
      <c r="P620" s="6"/>
      <c r="Q620" s="6" t="s">
        <v>2732</v>
      </c>
    </row>
    <row r="621" customFormat="false" ht="15" hidden="false" customHeight="false" outlineLevel="0" collapsed="false">
      <c r="A621" s="6" t="s">
        <v>2733</v>
      </c>
      <c r="B621" s="6" t="s">
        <v>2734</v>
      </c>
      <c r="C621" s="6" t="s">
        <v>59</v>
      </c>
      <c r="D621" s="6" t="s">
        <v>2727</v>
      </c>
      <c r="E621" s="6" t="s">
        <v>61</v>
      </c>
      <c r="F621" s="6" t="s">
        <v>2137</v>
      </c>
      <c r="G621" s="6" t="s">
        <v>2727</v>
      </c>
      <c r="H621" s="7" t="n">
        <v>49</v>
      </c>
      <c r="I621" s="8" t="n">
        <v>1</v>
      </c>
      <c r="J621" s="9" t="n">
        <v>676.42</v>
      </c>
      <c r="K621" s="8" t="s">
        <v>35</v>
      </c>
      <c r="L621" s="10" t="s">
        <v>2103</v>
      </c>
      <c r="M621" s="10" t="s">
        <v>2452</v>
      </c>
      <c r="N621" s="10" t="s">
        <v>2728</v>
      </c>
      <c r="O621" s="8" t="str">
        <f aca="false">IF(M621="prescription","Yes","No")</f>
        <v>No</v>
      </c>
      <c r="P621" s="6"/>
      <c r="Q621" s="6" t="s">
        <v>2735</v>
      </c>
    </row>
    <row r="622" customFormat="false" ht="15" hidden="false" customHeight="false" outlineLevel="0" collapsed="false">
      <c r="A622" s="6" t="s">
        <v>2736</v>
      </c>
      <c r="B622" s="6" t="s">
        <v>2737</v>
      </c>
      <c r="C622" s="6" t="s">
        <v>59</v>
      </c>
      <c r="D622" s="6" t="s">
        <v>2738</v>
      </c>
      <c r="E622" s="6" t="s">
        <v>61</v>
      </c>
      <c r="F622" s="6" t="s">
        <v>2137</v>
      </c>
      <c r="G622" s="6" t="s">
        <v>2727</v>
      </c>
      <c r="H622" s="7" t="n">
        <v>11</v>
      </c>
      <c r="I622" s="8" t="n">
        <v>1</v>
      </c>
      <c r="J622" s="9" t="n">
        <v>2678.58</v>
      </c>
      <c r="K622" s="8" t="s">
        <v>35</v>
      </c>
      <c r="L622" s="10" t="s">
        <v>2103</v>
      </c>
      <c r="M622" s="10" t="s">
        <v>2452</v>
      </c>
      <c r="N622" s="10" t="s">
        <v>2728</v>
      </c>
      <c r="O622" s="8" t="str">
        <f aca="false">IF(M622="prescription","Yes","No")</f>
        <v>No</v>
      </c>
      <c r="P622" s="6"/>
      <c r="Q622" s="6" t="s">
        <v>2739</v>
      </c>
    </row>
    <row r="623" customFormat="false" ht="15" hidden="false" customHeight="false" outlineLevel="0" collapsed="false">
      <c r="A623" s="6" t="s">
        <v>2740</v>
      </c>
      <c r="B623" s="6" t="s">
        <v>2741</v>
      </c>
      <c r="C623" s="6" t="s">
        <v>2742</v>
      </c>
      <c r="D623" s="6" t="s">
        <v>2743</v>
      </c>
      <c r="E623" s="6" t="s">
        <v>2744</v>
      </c>
      <c r="F623" s="6" t="s">
        <v>2137</v>
      </c>
      <c r="G623" s="6" t="s">
        <v>2727</v>
      </c>
      <c r="H623" s="7" t="n">
        <v>10</v>
      </c>
      <c r="I623" s="8" t="n">
        <v>1</v>
      </c>
      <c r="J623" s="9" t="n">
        <v>88.01</v>
      </c>
      <c r="K623" s="8" t="s">
        <v>35</v>
      </c>
      <c r="L623" s="10" t="s">
        <v>2103</v>
      </c>
      <c r="M623" s="10" t="s">
        <v>2452</v>
      </c>
      <c r="N623" s="10" t="s">
        <v>2728</v>
      </c>
      <c r="O623" s="8" t="str">
        <f aca="false">IF(M623="prescription","Yes","No")</f>
        <v>No</v>
      </c>
      <c r="P623" s="6"/>
      <c r="Q623" s="6" t="s">
        <v>2745</v>
      </c>
    </row>
    <row r="624" customFormat="false" ht="15" hidden="false" customHeight="false" outlineLevel="0" collapsed="false">
      <c r="A624" s="6" t="s">
        <v>2746</v>
      </c>
      <c r="B624" s="6" t="s">
        <v>2747</v>
      </c>
      <c r="C624" s="6" t="s">
        <v>59</v>
      </c>
      <c r="D624" s="6" t="s">
        <v>2748</v>
      </c>
      <c r="E624" s="6" t="s">
        <v>61</v>
      </c>
      <c r="F624" s="6" t="s">
        <v>2137</v>
      </c>
      <c r="G624" s="6" t="s">
        <v>2749</v>
      </c>
      <c r="H624" s="7" t="n">
        <v>195</v>
      </c>
      <c r="I624" s="8" t="n">
        <v>1</v>
      </c>
      <c r="J624" s="9" t="n">
        <v>201.86</v>
      </c>
      <c r="K624" s="8" t="s">
        <v>35</v>
      </c>
      <c r="L624" s="10" t="s">
        <v>2103</v>
      </c>
      <c r="M624" s="10" t="s">
        <v>2452</v>
      </c>
      <c r="N624" s="10" t="s">
        <v>2750</v>
      </c>
      <c r="O624" s="8" t="str">
        <f aca="false">IF(M624="prescription","Yes","No")</f>
        <v>No</v>
      </c>
      <c r="P624" s="6"/>
      <c r="Q624" s="6" t="s">
        <v>2751</v>
      </c>
    </row>
    <row r="625" customFormat="false" ht="15" hidden="false" customHeight="false" outlineLevel="0" collapsed="false">
      <c r="A625" s="6" t="s">
        <v>2752</v>
      </c>
      <c r="B625" s="6" t="s">
        <v>2753</v>
      </c>
      <c r="C625" s="6" t="s">
        <v>59</v>
      </c>
      <c r="D625" s="6" t="s">
        <v>2748</v>
      </c>
      <c r="E625" s="6" t="s">
        <v>61</v>
      </c>
      <c r="F625" s="6" t="s">
        <v>2137</v>
      </c>
      <c r="G625" s="6" t="s">
        <v>2749</v>
      </c>
      <c r="H625" s="7" t="n">
        <v>155</v>
      </c>
      <c r="I625" s="8" t="n">
        <v>1</v>
      </c>
      <c r="J625" s="9" t="n">
        <v>201.86</v>
      </c>
      <c r="K625" s="8" t="s">
        <v>35</v>
      </c>
      <c r="L625" s="10" t="s">
        <v>2103</v>
      </c>
      <c r="M625" s="10" t="s">
        <v>2452</v>
      </c>
      <c r="N625" s="10" t="s">
        <v>2750</v>
      </c>
      <c r="O625" s="8" t="str">
        <f aca="false">IF(M625="prescription","Yes","No")</f>
        <v>No</v>
      </c>
      <c r="P625" s="6"/>
      <c r="Q625" s="6" t="s">
        <v>2754</v>
      </c>
    </row>
    <row r="626" customFormat="false" ht="15" hidden="false" customHeight="false" outlineLevel="0" collapsed="false">
      <c r="A626" s="6" t="s">
        <v>2755</v>
      </c>
      <c r="B626" s="6" t="s">
        <v>2756</v>
      </c>
      <c r="C626" s="6" t="s">
        <v>59</v>
      </c>
      <c r="D626" s="6" t="s">
        <v>2748</v>
      </c>
      <c r="E626" s="6" t="s">
        <v>61</v>
      </c>
      <c r="F626" s="6" t="s">
        <v>2137</v>
      </c>
      <c r="G626" s="6" t="s">
        <v>2749</v>
      </c>
      <c r="H626" s="7" t="n">
        <v>13</v>
      </c>
      <c r="I626" s="8" t="n">
        <v>1</v>
      </c>
      <c r="J626" s="9" t="n">
        <v>334.24</v>
      </c>
      <c r="K626" s="8" t="s">
        <v>35</v>
      </c>
      <c r="L626" s="10" t="s">
        <v>2103</v>
      </c>
      <c r="M626" s="10" t="s">
        <v>2452</v>
      </c>
      <c r="N626" s="10" t="s">
        <v>2750</v>
      </c>
      <c r="O626" s="8" t="str">
        <f aca="false">IF(M626="prescription","Yes","No")</f>
        <v>No</v>
      </c>
      <c r="P626" s="6"/>
      <c r="Q626" s="6" t="s">
        <v>2757</v>
      </c>
    </row>
    <row r="627" customFormat="false" ht="15" hidden="false" customHeight="false" outlineLevel="0" collapsed="false">
      <c r="A627" s="6" t="s">
        <v>2758</v>
      </c>
      <c r="B627" s="6" t="s">
        <v>2759</v>
      </c>
      <c r="C627" s="6" t="s">
        <v>59</v>
      </c>
      <c r="D627" s="6" t="s">
        <v>2748</v>
      </c>
      <c r="E627" s="6" t="s">
        <v>61</v>
      </c>
      <c r="F627" s="6" t="s">
        <v>2137</v>
      </c>
      <c r="G627" s="6" t="s">
        <v>2749</v>
      </c>
      <c r="H627" s="7" t="n">
        <v>91</v>
      </c>
      <c r="I627" s="8" t="n">
        <v>1</v>
      </c>
      <c r="J627" s="9" t="n">
        <v>375.51</v>
      </c>
      <c r="K627" s="8" t="s">
        <v>35</v>
      </c>
      <c r="L627" s="10" t="s">
        <v>2103</v>
      </c>
      <c r="M627" s="10" t="s">
        <v>2452</v>
      </c>
      <c r="N627" s="10" t="s">
        <v>2750</v>
      </c>
      <c r="O627" s="8" t="str">
        <f aca="false">IF(M627="prescription","Yes","No")</f>
        <v>No</v>
      </c>
      <c r="P627" s="6"/>
      <c r="Q627" s="6" t="s">
        <v>2760</v>
      </c>
    </row>
    <row r="628" customFormat="false" ht="15" hidden="false" customHeight="false" outlineLevel="0" collapsed="false">
      <c r="A628" s="6" t="s">
        <v>2761</v>
      </c>
      <c r="B628" s="6" t="s">
        <v>2762</v>
      </c>
      <c r="C628" s="6" t="s">
        <v>59</v>
      </c>
      <c r="D628" s="6" t="s">
        <v>2748</v>
      </c>
      <c r="E628" s="6" t="s">
        <v>61</v>
      </c>
      <c r="F628" s="6" t="s">
        <v>2137</v>
      </c>
      <c r="G628" s="6" t="s">
        <v>2749</v>
      </c>
      <c r="H628" s="7" t="n">
        <v>1</v>
      </c>
      <c r="I628" s="8" t="n">
        <v>1</v>
      </c>
      <c r="J628" s="9" t="n">
        <v>453.45</v>
      </c>
      <c r="K628" s="8" t="s">
        <v>35</v>
      </c>
      <c r="L628" s="10" t="s">
        <v>2103</v>
      </c>
      <c r="M628" s="10" t="s">
        <v>2452</v>
      </c>
      <c r="N628" s="10" t="s">
        <v>2750</v>
      </c>
      <c r="O628" s="8" t="str">
        <f aca="false">IF(M628="prescription","Yes","No")</f>
        <v>No</v>
      </c>
      <c r="P628" s="6"/>
      <c r="Q628" s="6" t="s">
        <v>2763</v>
      </c>
    </row>
    <row r="629" customFormat="false" ht="15" hidden="false" customHeight="false" outlineLevel="0" collapsed="false">
      <c r="A629" s="6" t="s">
        <v>2764</v>
      </c>
      <c r="B629" s="6" t="s">
        <v>2765</v>
      </c>
      <c r="C629" s="6" t="s">
        <v>59</v>
      </c>
      <c r="D629" s="6" t="s">
        <v>2748</v>
      </c>
      <c r="E629" s="6" t="s">
        <v>61</v>
      </c>
      <c r="F629" s="6" t="s">
        <v>2137</v>
      </c>
      <c r="G629" s="6" t="s">
        <v>2749</v>
      </c>
      <c r="H629" s="7" t="n">
        <v>21</v>
      </c>
      <c r="I629" s="8" t="n">
        <v>1</v>
      </c>
      <c r="J629" s="9" t="n">
        <v>453.45</v>
      </c>
      <c r="K629" s="8" t="s">
        <v>35</v>
      </c>
      <c r="L629" s="10" t="s">
        <v>2103</v>
      </c>
      <c r="M629" s="10" t="s">
        <v>2452</v>
      </c>
      <c r="N629" s="10" t="s">
        <v>2750</v>
      </c>
      <c r="O629" s="8" t="str">
        <f aca="false">IF(M629="prescription","Yes","No")</f>
        <v>No</v>
      </c>
      <c r="P629" s="6"/>
      <c r="Q629" s="6" t="s">
        <v>2766</v>
      </c>
    </row>
    <row r="630" customFormat="false" ht="15" hidden="false" customHeight="false" outlineLevel="0" collapsed="false">
      <c r="A630" s="6" t="s">
        <v>2767</v>
      </c>
      <c r="B630" s="6" t="s">
        <v>2768</v>
      </c>
      <c r="C630" s="6" t="s">
        <v>59</v>
      </c>
      <c r="D630" s="6" t="s">
        <v>2748</v>
      </c>
      <c r="E630" s="6" t="s">
        <v>61</v>
      </c>
      <c r="F630" s="6" t="s">
        <v>2137</v>
      </c>
      <c r="G630" s="6" t="s">
        <v>2749</v>
      </c>
      <c r="H630" s="7" t="n">
        <v>14</v>
      </c>
      <c r="I630" s="8" t="n">
        <v>1</v>
      </c>
      <c r="J630" s="9" t="n">
        <v>375.51</v>
      </c>
      <c r="K630" s="8" t="s">
        <v>35</v>
      </c>
      <c r="L630" s="10" t="s">
        <v>2103</v>
      </c>
      <c r="M630" s="10" t="s">
        <v>2452</v>
      </c>
      <c r="N630" s="10" t="s">
        <v>2750</v>
      </c>
      <c r="O630" s="8" t="str">
        <f aca="false">IF(M630="prescription","Yes","No")</f>
        <v>No</v>
      </c>
      <c r="P630" s="6"/>
      <c r="Q630" s="6" t="s">
        <v>2769</v>
      </c>
    </row>
    <row r="631" customFormat="false" ht="15" hidden="false" customHeight="false" outlineLevel="0" collapsed="false">
      <c r="A631" s="6" t="s">
        <v>2770</v>
      </c>
      <c r="B631" s="6" t="s">
        <v>2771</v>
      </c>
      <c r="C631" s="6" t="s">
        <v>59</v>
      </c>
      <c r="D631" s="6" t="s">
        <v>2748</v>
      </c>
      <c r="E631" s="6" t="s">
        <v>61</v>
      </c>
      <c r="F631" s="6" t="s">
        <v>2137</v>
      </c>
      <c r="G631" s="6" t="s">
        <v>2749</v>
      </c>
      <c r="H631" s="7" t="n">
        <v>34</v>
      </c>
      <c r="I631" s="8" t="n">
        <v>1</v>
      </c>
      <c r="J631" s="9" t="n">
        <v>334.24</v>
      </c>
      <c r="K631" s="8" t="s">
        <v>35</v>
      </c>
      <c r="L631" s="10" t="s">
        <v>2103</v>
      </c>
      <c r="M631" s="10" t="s">
        <v>2452</v>
      </c>
      <c r="N631" s="10" t="s">
        <v>2750</v>
      </c>
      <c r="O631" s="8" t="str">
        <f aca="false">IF(M631="prescription","Yes","No")</f>
        <v>No</v>
      </c>
      <c r="P631" s="6"/>
      <c r="Q631" s="6" t="s">
        <v>2772</v>
      </c>
    </row>
    <row r="632" customFormat="false" ht="15" hidden="false" customHeight="false" outlineLevel="0" collapsed="false">
      <c r="A632" s="6" t="s">
        <v>2773</v>
      </c>
      <c r="B632" s="6" t="s">
        <v>2774</v>
      </c>
      <c r="C632" s="6" t="s">
        <v>59</v>
      </c>
      <c r="D632" s="6" t="s">
        <v>2748</v>
      </c>
      <c r="E632" s="6" t="s">
        <v>61</v>
      </c>
      <c r="F632" s="6" t="s">
        <v>2137</v>
      </c>
      <c r="G632" s="6" t="s">
        <v>2749</v>
      </c>
      <c r="H632" s="7" t="n">
        <v>60</v>
      </c>
      <c r="I632" s="8" t="n">
        <v>1</v>
      </c>
      <c r="J632" s="9" t="n">
        <v>129.86</v>
      </c>
      <c r="K632" s="8" t="s">
        <v>35</v>
      </c>
      <c r="L632" s="10" t="s">
        <v>2103</v>
      </c>
      <c r="M632" s="10" t="s">
        <v>2452</v>
      </c>
      <c r="N632" s="10" t="s">
        <v>2750</v>
      </c>
      <c r="O632" s="8" t="str">
        <f aca="false">IF(M632="prescription","Yes","No")</f>
        <v>No</v>
      </c>
      <c r="P632" s="6"/>
      <c r="Q632" s="6" t="s">
        <v>2775</v>
      </c>
    </row>
  </sheetData>
  <autoFilter ref="A1:Q632"/>
  <dataValidations count="3">
    <dataValidation allowBlank="true" error="Pick a value from the list (or add it on the Lists sheet first)." errorStyle="stop" errorTitle="Not in list" operator="between" showDropDown="false" showErrorMessage="false" showInputMessage="false" sqref="L2:L632" type="list">
      <formula1>Lists!$A$2:$A$30</formula1>
      <formula2>0</formula2>
    </dataValidation>
    <dataValidation allowBlank="true" error="Pick a value from the list (or add it on the Lists sheet first)." errorStyle="stop" errorTitle="Not in list" operator="between" showDropDown="false" showErrorMessage="false" showInputMessage="false" sqref="M2:M632" type="list">
      <formula1>Lists!$B$2:$B$60</formula1>
      <formula2>0</formula2>
    </dataValidation>
    <dataValidation allowBlank="true" error="Pick a value from the list (or add it on the Lists sheet first)." errorStyle="stop" errorTitle="Not in list" operator="between" showDropDown="false" showErrorMessage="false" showInputMessage="false" sqref="N2:N632" type="list">
      <formula1>Lists!$C$2:$C$120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6"/>
  </cols>
  <sheetData>
    <row r="1" customFormat="false" ht="15" hidden="false" customHeight="false" outlineLevel="0" collapsed="false">
      <c r="A1" s="11" t="s">
        <v>23</v>
      </c>
      <c r="B1" s="11" t="s">
        <v>24</v>
      </c>
      <c r="C1" s="11" t="s">
        <v>25</v>
      </c>
      <c r="E1" s="12" t="s">
        <v>2776</v>
      </c>
    </row>
    <row r="2" customFormat="false" ht="15" hidden="false" customHeight="false" outlineLevel="0" collapsed="false">
      <c r="A2" s="2" t="s">
        <v>98</v>
      </c>
      <c r="B2" s="2" t="s">
        <v>409</v>
      </c>
      <c r="C2" s="2" t="s">
        <v>410</v>
      </c>
    </row>
    <row r="3" customFormat="false" ht="15" hidden="false" customHeight="false" outlineLevel="0" collapsed="false">
      <c r="A3" s="2" t="s">
        <v>2777</v>
      </c>
      <c r="B3" s="2" t="s">
        <v>184</v>
      </c>
      <c r="C3" s="2" t="s">
        <v>586</v>
      </c>
    </row>
    <row r="4" customFormat="false" ht="15" hidden="false" customHeight="false" outlineLevel="0" collapsed="false">
      <c r="A4" s="2" t="s">
        <v>2103</v>
      </c>
      <c r="B4" s="2" t="s">
        <v>99</v>
      </c>
      <c r="C4" s="2" t="s">
        <v>838</v>
      </c>
    </row>
    <row r="5" customFormat="false" ht="15" hidden="false" customHeight="false" outlineLevel="0" collapsed="false">
      <c r="A5" s="2" t="s">
        <v>36</v>
      </c>
      <c r="B5" s="2" t="s">
        <v>2778</v>
      </c>
      <c r="C5" s="2" t="s">
        <v>871</v>
      </c>
    </row>
    <row r="6" customFormat="false" ht="15" hidden="false" customHeight="false" outlineLevel="0" collapsed="false">
      <c r="B6" s="2" t="s">
        <v>2452</v>
      </c>
      <c r="C6" s="2" t="s">
        <v>938</v>
      </c>
    </row>
    <row r="7" customFormat="false" ht="15" hidden="false" customHeight="false" outlineLevel="0" collapsed="false">
      <c r="B7" s="2" t="s">
        <v>2181</v>
      </c>
      <c r="C7" s="2" t="s">
        <v>967</v>
      </c>
    </row>
    <row r="8" customFormat="false" ht="15" hidden="false" customHeight="false" outlineLevel="0" collapsed="false">
      <c r="B8" s="2" t="s">
        <v>2104</v>
      </c>
      <c r="C8" s="2" t="s">
        <v>1266</v>
      </c>
    </row>
    <row r="9" customFormat="false" ht="15" hidden="false" customHeight="false" outlineLevel="0" collapsed="false">
      <c r="B9" s="2" t="s">
        <v>37</v>
      </c>
      <c r="C9" s="2" t="s">
        <v>1347</v>
      </c>
    </row>
    <row r="10" customFormat="false" ht="15" hidden="false" customHeight="false" outlineLevel="0" collapsed="false">
      <c r="C10" s="2" t="s">
        <v>1367</v>
      </c>
    </row>
    <row r="11" customFormat="false" ht="15" hidden="false" customHeight="false" outlineLevel="0" collapsed="false">
      <c r="C11" s="2" t="s">
        <v>1787</v>
      </c>
    </row>
    <row r="12" customFormat="false" ht="15" hidden="false" customHeight="false" outlineLevel="0" collapsed="false">
      <c r="C12" s="2" t="s">
        <v>1590</v>
      </c>
    </row>
    <row r="13" customFormat="false" ht="15" hidden="false" customHeight="false" outlineLevel="0" collapsed="false">
      <c r="C13" s="2" t="s">
        <v>2014</v>
      </c>
    </row>
    <row r="14" customFormat="false" ht="15" hidden="false" customHeight="false" outlineLevel="0" collapsed="false">
      <c r="C14" s="2" t="s">
        <v>1681</v>
      </c>
    </row>
    <row r="15" customFormat="false" ht="15" hidden="false" customHeight="false" outlineLevel="0" collapsed="false">
      <c r="C15" s="2" t="s">
        <v>1660</v>
      </c>
    </row>
    <row r="16" customFormat="false" ht="15" hidden="false" customHeight="false" outlineLevel="0" collapsed="false">
      <c r="C16" s="2" t="s">
        <v>1793</v>
      </c>
    </row>
    <row r="17" customFormat="false" ht="15" hidden="false" customHeight="false" outlineLevel="0" collapsed="false">
      <c r="C17" s="2" t="s">
        <v>1726</v>
      </c>
    </row>
    <row r="18" customFormat="false" ht="15" hidden="false" customHeight="false" outlineLevel="0" collapsed="false">
      <c r="C18" s="2" t="s">
        <v>1498</v>
      </c>
    </row>
    <row r="19" customFormat="false" ht="15" hidden="false" customHeight="false" outlineLevel="0" collapsed="false">
      <c r="C19" s="2" t="s">
        <v>1966</v>
      </c>
    </row>
    <row r="20" customFormat="false" ht="15" hidden="false" customHeight="false" outlineLevel="0" collapsed="false">
      <c r="C20" s="2" t="s">
        <v>2078</v>
      </c>
    </row>
    <row r="21" customFormat="false" ht="15" hidden="false" customHeight="false" outlineLevel="0" collapsed="false">
      <c r="C21" s="2" t="s">
        <v>1340</v>
      </c>
    </row>
    <row r="22" customFormat="false" ht="15" hidden="false" customHeight="false" outlineLevel="0" collapsed="false">
      <c r="C22" s="2" t="s">
        <v>360</v>
      </c>
    </row>
    <row r="23" customFormat="false" ht="15" hidden="false" customHeight="false" outlineLevel="0" collapsed="false">
      <c r="C23" s="2" t="s">
        <v>185</v>
      </c>
    </row>
    <row r="24" customFormat="false" ht="15" hidden="false" customHeight="false" outlineLevel="0" collapsed="false">
      <c r="C24" s="2" t="s">
        <v>246</v>
      </c>
    </row>
    <row r="25" customFormat="false" ht="15" hidden="false" customHeight="false" outlineLevel="0" collapsed="false">
      <c r="C25" s="2" t="s">
        <v>347</v>
      </c>
    </row>
    <row r="26" customFormat="false" ht="15" hidden="false" customHeight="false" outlineLevel="0" collapsed="false">
      <c r="C26" s="2" t="s">
        <v>295</v>
      </c>
    </row>
    <row r="27" customFormat="false" ht="15" hidden="false" customHeight="false" outlineLevel="0" collapsed="false">
      <c r="C27" s="2" t="s">
        <v>319</v>
      </c>
    </row>
    <row r="28" customFormat="false" ht="15" hidden="false" customHeight="false" outlineLevel="0" collapsed="false">
      <c r="C28" s="2" t="s">
        <v>164</v>
      </c>
    </row>
    <row r="29" customFormat="false" ht="15" hidden="false" customHeight="false" outlineLevel="0" collapsed="false">
      <c r="C29" s="2" t="s">
        <v>100</v>
      </c>
    </row>
    <row r="30" customFormat="false" ht="15" hidden="false" customHeight="false" outlineLevel="0" collapsed="false">
      <c r="C30" s="2" t="s">
        <v>121</v>
      </c>
    </row>
    <row r="31" customFormat="false" ht="15" hidden="false" customHeight="false" outlineLevel="0" collapsed="false">
      <c r="C31" s="2" t="s">
        <v>143</v>
      </c>
    </row>
    <row r="32" customFormat="false" ht="15" hidden="false" customHeight="false" outlineLevel="0" collapsed="false">
      <c r="C32" s="2" t="s">
        <v>150</v>
      </c>
    </row>
    <row r="33" customFormat="false" ht="15" hidden="false" customHeight="false" outlineLevel="0" collapsed="false">
      <c r="C33" s="2" t="s">
        <v>132</v>
      </c>
    </row>
    <row r="34" customFormat="false" ht="15" hidden="false" customHeight="false" outlineLevel="0" collapsed="false">
      <c r="C34" s="2" t="s">
        <v>175</v>
      </c>
    </row>
    <row r="35" customFormat="false" ht="15" hidden="false" customHeight="false" outlineLevel="0" collapsed="false">
      <c r="C35" s="2" t="s">
        <v>2779</v>
      </c>
    </row>
    <row r="36" customFormat="false" ht="15" hidden="false" customHeight="false" outlineLevel="0" collapsed="false">
      <c r="C36" s="2" t="s">
        <v>2780</v>
      </c>
    </row>
    <row r="37" customFormat="false" ht="15" hidden="false" customHeight="false" outlineLevel="0" collapsed="false">
      <c r="C37" s="2" t="s">
        <v>2781</v>
      </c>
    </row>
    <row r="38" customFormat="false" ht="15" hidden="false" customHeight="false" outlineLevel="0" collapsed="false">
      <c r="C38" s="2" t="s">
        <v>2453</v>
      </c>
    </row>
    <row r="39" customFormat="false" ht="15" hidden="false" customHeight="false" outlineLevel="0" collapsed="false">
      <c r="C39" s="2" t="s">
        <v>2679</v>
      </c>
    </row>
    <row r="40" customFormat="false" ht="15" hidden="false" customHeight="false" outlineLevel="0" collapsed="false">
      <c r="C40" s="2" t="s">
        <v>2659</v>
      </c>
    </row>
    <row r="41" customFormat="false" ht="15" hidden="false" customHeight="false" outlineLevel="0" collapsed="false">
      <c r="C41" s="2" t="s">
        <v>2639</v>
      </c>
    </row>
    <row r="42" customFormat="false" ht="15" hidden="false" customHeight="false" outlineLevel="0" collapsed="false">
      <c r="C42" s="2" t="s">
        <v>2570</v>
      </c>
    </row>
    <row r="43" customFormat="false" ht="15" hidden="false" customHeight="false" outlineLevel="0" collapsed="false">
      <c r="C43" s="2" t="s">
        <v>2644</v>
      </c>
    </row>
    <row r="44" customFormat="false" ht="15" hidden="false" customHeight="false" outlineLevel="0" collapsed="false">
      <c r="C44" s="2" t="s">
        <v>2750</v>
      </c>
    </row>
    <row r="45" customFormat="false" ht="15" hidden="false" customHeight="false" outlineLevel="0" collapsed="false">
      <c r="C45" s="2" t="s">
        <v>2728</v>
      </c>
    </row>
    <row r="46" customFormat="false" ht="15" hidden="false" customHeight="false" outlineLevel="0" collapsed="false">
      <c r="C46" s="2" t="s">
        <v>2622</v>
      </c>
    </row>
    <row r="47" customFormat="false" ht="15" hidden="false" customHeight="false" outlineLevel="0" collapsed="false">
      <c r="C47" s="2" t="s">
        <v>2182</v>
      </c>
    </row>
    <row r="48" customFormat="false" ht="15" hidden="false" customHeight="false" outlineLevel="0" collapsed="false">
      <c r="C48" s="2" t="s">
        <v>2443</v>
      </c>
    </row>
    <row r="49" customFormat="false" ht="15" hidden="false" customHeight="false" outlineLevel="0" collapsed="false">
      <c r="C49" s="2" t="s">
        <v>2165</v>
      </c>
    </row>
    <row r="50" customFormat="false" ht="15" hidden="false" customHeight="false" outlineLevel="0" collapsed="false">
      <c r="C50" s="2" t="s">
        <v>2139</v>
      </c>
    </row>
    <row r="51" customFormat="false" ht="15" hidden="false" customHeight="false" outlineLevel="0" collapsed="false">
      <c r="C51" s="2" t="s">
        <v>2153</v>
      </c>
    </row>
    <row r="52" customFormat="false" ht="15" hidden="false" customHeight="false" outlineLevel="0" collapsed="false">
      <c r="C52" s="2" t="s">
        <v>2117</v>
      </c>
    </row>
    <row r="53" customFormat="false" ht="15" hidden="false" customHeight="false" outlineLevel="0" collapsed="false">
      <c r="C53" s="2" t="s">
        <v>2105</v>
      </c>
    </row>
    <row r="54" customFormat="false" ht="15" hidden="false" customHeight="false" outlineLevel="0" collapsed="false">
      <c r="C54" s="2" t="s">
        <v>38</v>
      </c>
    </row>
    <row r="55" customFormat="false" ht="15" hidden="false" customHeight="false" outlineLevel="0" collapsed="false">
      <c r="C55" s="2" t="s">
        <v>55</v>
      </c>
    </row>
    <row r="56" customFormat="false" ht="15" hidden="false" customHeight="false" outlineLevel="0" collapsed="false">
      <c r="C56" s="2" t="s">
        <v>63</v>
      </c>
    </row>
    <row r="57" customFormat="false" ht="15" hidden="false" customHeight="false" outlineLevel="0" collapsed="false">
      <c r="C57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2782</v>
      </c>
    </row>
    <row r="3" customFormat="false" ht="15" hidden="false" customHeight="false" outlineLevel="0" collapsed="false">
      <c r="A3" s="11" t="s">
        <v>2783</v>
      </c>
      <c r="B3" s="11" t="s">
        <v>24</v>
      </c>
      <c r="C3" s="11" t="s">
        <v>25</v>
      </c>
      <c r="D3" s="11" t="s">
        <v>2784</v>
      </c>
    </row>
    <row r="4" customFormat="false" ht="15" hidden="false" customHeight="false" outlineLevel="0" collapsed="false">
      <c r="A4" s="13" t="s">
        <v>98</v>
      </c>
      <c r="B4" s="14"/>
      <c r="C4" s="14"/>
      <c r="D4" s="13" t="n">
        <f aca="false">COUNTIFS(Products!$L$2:$L$632,A4)</f>
        <v>424</v>
      </c>
    </row>
    <row r="5" customFormat="false" ht="15" hidden="false" customHeight="false" outlineLevel="0" collapsed="false">
      <c r="A5" s="15" t="s">
        <v>98</v>
      </c>
      <c r="B5" s="3" t="s">
        <v>409</v>
      </c>
      <c r="D5" s="3" t="n">
        <f aca="false">COUNTIFS(Products!$L$2:$L$632,A5,Products!$M$2:$M$632,B5)</f>
        <v>370</v>
      </c>
    </row>
    <row r="6" customFormat="false" ht="15" hidden="false" customHeight="false" outlineLevel="0" collapsed="false">
      <c r="A6" s="15" t="s">
        <v>98</v>
      </c>
      <c r="B6" s="15" t="s">
        <v>409</v>
      </c>
      <c r="C6" s="2" t="s">
        <v>410</v>
      </c>
      <c r="D6" s="2" t="n">
        <f aca="false">COUNTIFS(Products!$L$2:$L$632,A6,Products!$M$2:$M$632,B6,Products!$N$2:$N$632,C6)</f>
        <v>36</v>
      </c>
    </row>
    <row r="7" customFormat="false" ht="15" hidden="false" customHeight="false" outlineLevel="0" collapsed="false">
      <c r="A7" s="15" t="s">
        <v>98</v>
      </c>
      <c r="B7" s="15" t="s">
        <v>409</v>
      </c>
      <c r="C7" s="2" t="s">
        <v>586</v>
      </c>
      <c r="D7" s="2" t="n">
        <f aca="false">COUNTIFS(Products!$L$2:$L$632,A7,Products!$M$2:$M$632,B7,Products!$N$2:$N$632,C7)</f>
        <v>56</v>
      </c>
    </row>
    <row r="8" customFormat="false" ht="15" hidden="false" customHeight="false" outlineLevel="0" collapsed="false">
      <c r="A8" s="15" t="s">
        <v>98</v>
      </c>
      <c r="B8" s="15" t="s">
        <v>409</v>
      </c>
      <c r="C8" s="2" t="s">
        <v>838</v>
      </c>
      <c r="D8" s="2" t="n">
        <f aca="false">COUNTIFS(Products!$L$2:$L$632,A8,Products!$M$2:$M$632,B8,Products!$N$2:$N$632,C8)</f>
        <v>6</v>
      </c>
    </row>
    <row r="9" customFormat="false" ht="15" hidden="false" customHeight="false" outlineLevel="0" collapsed="false">
      <c r="A9" s="15" t="s">
        <v>98</v>
      </c>
      <c r="B9" s="15" t="s">
        <v>409</v>
      </c>
      <c r="C9" s="2" t="s">
        <v>871</v>
      </c>
      <c r="D9" s="2" t="n">
        <f aca="false">COUNTIFS(Products!$L$2:$L$632,A9,Products!$M$2:$M$632,B9,Products!$N$2:$N$632,C9)</f>
        <v>14</v>
      </c>
    </row>
    <row r="10" customFormat="false" ht="15" hidden="false" customHeight="false" outlineLevel="0" collapsed="false">
      <c r="A10" s="15" t="s">
        <v>98</v>
      </c>
      <c r="B10" s="15" t="s">
        <v>409</v>
      </c>
      <c r="C10" s="2" t="s">
        <v>938</v>
      </c>
      <c r="D10" s="2" t="n">
        <f aca="false">COUNTIFS(Products!$L$2:$L$632,A10,Products!$M$2:$M$632,B10,Products!$N$2:$N$632,C10)</f>
        <v>5</v>
      </c>
    </row>
    <row r="11" customFormat="false" ht="15" hidden="false" customHeight="false" outlineLevel="0" collapsed="false">
      <c r="A11" s="15" t="s">
        <v>98</v>
      </c>
      <c r="B11" s="15" t="s">
        <v>409</v>
      </c>
      <c r="C11" s="2" t="s">
        <v>967</v>
      </c>
      <c r="D11" s="2" t="n">
        <f aca="false">COUNTIFS(Products!$L$2:$L$632,A11,Products!$M$2:$M$632,B11,Products!$N$2:$N$632,C11)</f>
        <v>68</v>
      </c>
    </row>
    <row r="12" customFormat="false" ht="15" hidden="false" customHeight="false" outlineLevel="0" collapsed="false">
      <c r="A12" s="15" t="s">
        <v>98</v>
      </c>
      <c r="B12" s="15" t="s">
        <v>409</v>
      </c>
      <c r="C12" s="2" t="s">
        <v>1266</v>
      </c>
      <c r="D12" s="2" t="n">
        <f aca="false">COUNTIFS(Products!$L$2:$L$632,A12,Products!$M$2:$M$632,B12,Products!$N$2:$N$632,C12)</f>
        <v>16</v>
      </c>
    </row>
    <row r="13" customFormat="false" ht="15" hidden="false" customHeight="false" outlineLevel="0" collapsed="false">
      <c r="A13" s="15" t="s">
        <v>98</v>
      </c>
      <c r="B13" s="15" t="s">
        <v>409</v>
      </c>
      <c r="C13" s="2" t="s">
        <v>1347</v>
      </c>
      <c r="D13" s="2" t="n">
        <f aca="false">COUNTIFS(Products!$L$2:$L$632,A13,Products!$M$2:$M$632,B13,Products!$N$2:$N$632,C13)</f>
        <v>3</v>
      </c>
    </row>
    <row r="14" customFormat="false" ht="15" hidden="false" customHeight="false" outlineLevel="0" collapsed="false">
      <c r="A14" s="15" t="s">
        <v>98</v>
      </c>
      <c r="B14" s="15" t="s">
        <v>409</v>
      </c>
      <c r="C14" s="2" t="s">
        <v>1367</v>
      </c>
      <c r="D14" s="2" t="n">
        <f aca="false">COUNTIFS(Products!$L$2:$L$632,A14,Products!$M$2:$M$632,B14,Products!$N$2:$N$632,C14)</f>
        <v>32</v>
      </c>
    </row>
    <row r="15" customFormat="false" ht="15" hidden="false" customHeight="false" outlineLevel="0" collapsed="false">
      <c r="A15" s="15" t="s">
        <v>98</v>
      </c>
      <c r="B15" s="15" t="s">
        <v>409</v>
      </c>
      <c r="C15" s="2" t="s">
        <v>1787</v>
      </c>
      <c r="D15" s="2" t="n">
        <f aca="false">COUNTIFS(Products!$L$2:$L$632,A15,Products!$M$2:$M$632,B15,Products!$N$2:$N$632,C15)</f>
        <v>1</v>
      </c>
    </row>
    <row r="16" customFormat="false" ht="15" hidden="false" customHeight="false" outlineLevel="0" collapsed="false">
      <c r="A16" s="15" t="s">
        <v>98</v>
      </c>
      <c r="B16" s="15" t="s">
        <v>409</v>
      </c>
      <c r="C16" s="2" t="s">
        <v>1590</v>
      </c>
      <c r="D16" s="2" t="n">
        <f aca="false">COUNTIFS(Products!$L$2:$L$632,A16,Products!$M$2:$M$632,B16,Products!$N$2:$N$632,C16)</f>
        <v>15</v>
      </c>
    </row>
    <row r="17" customFormat="false" ht="15" hidden="false" customHeight="false" outlineLevel="0" collapsed="false">
      <c r="A17" s="15" t="s">
        <v>98</v>
      </c>
      <c r="B17" s="15" t="s">
        <v>409</v>
      </c>
      <c r="C17" s="2" t="s">
        <v>2014</v>
      </c>
      <c r="D17" s="2" t="n">
        <f aca="false">COUNTIFS(Products!$L$2:$L$632,A17,Products!$M$2:$M$632,B17,Products!$N$2:$N$632,C17)</f>
        <v>14</v>
      </c>
    </row>
    <row r="18" customFormat="false" ht="15" hidden="false" customHeight="false" outlineLevel="0" collapsed="false">
      <c r="A18" s="15" t="s">
        <v>98</v>
      </c>
      <c r="B18" s="15" t="s">
        <v>409</v>
      </c>
      <c r="C18" s="2" t="s">
        <v>1681</v>
      </c>
      <c r="D18" s="2" t="n">
        <f aca="false">COUNTIFS(Products!$L$2:$L$632,A18,Products!$M$2:$M$632,B18,Products!$N$2:$N$632,C18)</f>
        <v>8</v>
      </c>
    </row>
    <row r="19" customFormat="false" ht="15" hidden="false" customHeight="false" outlineLevel="0" collapsed="false">
      <c r="A19" s="15" t="s">
        <v>98</v>
      </c>
      <c r="B19" s="15" t="s">
        <v>409</v>
      </c>
      <c r="C19" s="2" t="s">
        <v>1660</v>
      </c>
      <c r="D19" s="2" t="n">
        <f aca="false">COUNTIFS(Products!$L$2:$L$632,A19,Products!$M$2:$M$632,B19,Products!$N$2:$N$632,C19)</f>
        <v>4</v>
      </c>
    </row>
    <row r="20" customFormat="false" ht="15" hidden="false" customHeight="false" outlineLevel="0" collapsed="false">
      <c r="A20" s="15" t="s">
        <v>98</v>
      </c>
      <c r="B20" s="15" t="s">
        <v>409</v>
      </c>
      <c r="C20" s="2" t="s">
        <v>1793</v>
      </c>
      <c r="D20" s="2" t="n">
        <f aca="false">COUNTIFS(Products!$L$2:$L$632,A20,Products!$M$2:$M$632,B20,Products!$N$2:$N$632,C20)</f>
        <v>40</v>
      </c>
    </row>
    <row r="21" customFormat="false" ht="15" hidden="false" customHeight="false" outlineLevel="0" collapsed="false">
      <c r="A21" s="15" t="s">
        <v>98</v>
      </c>
      <c r="B21" s="15" t="s">
        <v>409</v>
      </c>
      <c r="C21" s="2" t="s">
        <v>1726</v>
      </c>
      <c r="D21" s="2" t="n">
        <f aca="false">COUNTIFS(Products!$L$2:$L$632,A21,Products!$M$2:$M$632,B21,Products!$N$2:$N$632,C21)</f>
        <v>16</v>
      </c>
    </row>
    <row r="22" customFormat="false" ht="15" hidden="false" customHeight="false" outlineLevel="0" collapsed="false">
      <c r="A22" s="15" t="s">
        <v>98</v>
      </c>
      <c r="B22" s="15" t="s">
        <v>409</v>
      </c>
      <c r="C22" s="2" t="s">
        <v>1498</v>
      </c>
      <c r="D22" s="2" t="n">
        <f aca="false">COUNTIFS(Products!$L$2:$L$632,A22,Products!$M$2:$M$632,B22,Products!$N$2:$N$632,C22)</f>
        <v>19</v>
      </c>
    </row>
    <row r="23" customFormat="false" ht="15" hidden="false" customHeight="false" outlineLevel="0" collapsed="false">
      <c r="A23" s="15" t="s">
        <v>98</v>
      </c>
      <c r="B23" s="15" t="s">
        <v>409</v>
      </c>
      <c r="C23" s="2" t="s">
        <v>1966</v>
      </c>
      <c r="D23" s="2" t="n">
        <f aca="false">COUNTIFS(Products!$L$2:$L$632,A23,Products!$M$2:$M$632,B23,Products!$N$2:$N$632,C23)</f>
        <v>10</v>
      </c>
    </row>
    <row r="24" customFormat="false" ht="15" hidden="false" customHeight="false" outlineLevel="0" collapsed="false">
      <c r="A24" s="15" t="s">
        <v>98</v>
      </c>
      <c r="B24" s="15" t="s">
        <v>409</v>
      </c>
      <c r="C24" s="2" t="s">
        <v>2078</v>
      </c>
      <c r="D24" s="2" t="n">
        <f aca="false">COUNTIFS(Products!$L$2:$L$632,A24,Products!$M$2:$M$632,B24,Products!$N$2:$N$632,C24)</f>
        <v>6</v>
      </c>
    </row>
    <row r="25" customFormat="false" ht="15" hidden="false" customHeight="false" outlineLevel="0" collapsed="false">
      <c r="A25" s="15" t="s">
        <v>98</v>
      </c>
      <c r="B25" s="15" t="s">
        <v>409</v>
      </c>
      <c r="C25" s="2" t="s">
        <v>1340</v>
      </c>
      <c r="D25" s="2" t="n">
        <f aca="false">COUNTIFS(Products!$L$2:$L$632,A25,Products!$M$2:$M$632,B25,Products!$N$2:$N$632,C25)</f>
        <v>1</v>
      </c>
    </row>
    <row r="26" customFormat="false" ht="15" hidden="false" customHeight="false" outlineLevel="0" collapsed="false">
      <c r="A26" s="15" t="s">
        <v>98</v>
      </c>
      <c r="B26" s="3" t="s">
        <v>184</v>
      </c>
      <c r="D26" s="3" t="n">
        <f aca="false">COUNTIFS(Products!$L$2:$L$632,A26,Products!$M$2:$M$632,B26)</f>
        <v>40</v>
      </c>
    </row>
    <row r="27" customFormat="false" ht="15" hidden="false" customHeight="false" outlineLevel="0" collapsed="false">
      <c r="A27" s="15" t="s">
        <v>98</v>
      </c>
      <c r="B27" s="15" t="s">
        <v>184</v>
      </c>
      <c r="C27" s="2" t="s">
        <v>360</v>
      </c>
      <c r="D27" s="2" t="n">
        <f aca="false">COUNTIFS(Products!$L$2:$L$632,A27,Products!$M$2:$M$632,B27,Products!$N$2:$N$632,C27)</f>
        <v>9</v>
      </c>
    </row>
    <row r="28" customFormat="false" ht="15" hidden="false" customHeight="false" outlineLevel="0" collapsed="false">
      <c r="A28" s="15" t="s">
        <v>98</v>
      </c>
      <c r="B28" s="15" t="s">
        <v>184</v>
      </c>
      <c r="C28" s="2" t="s">
        <v>185</v>
      </c>
      <c r="D28" s="2" t="n">
        <f aca="false">COUNTIFS(Products!$L$2:$L$632,A28,Products!$M$2:$M$632,B28,Products!$N$2:$N$632,C28)</f>
        <v>12</v>
      </c>
    </row>
    <row r="29" customFormat="false" ht="15" hidden="false" customHeight="false" outlineLevel="0" collapsed="false">
      <c r="A29" s="15" t="s">
        <v>98</v>
      </c>
      <c r="B29" s="15" t="s">
        <v>184</v>
      </c>
      <c r="C29" s="2" t="s">
        <v>246</v>
      </c>
      <c r="D29" s="2" t="n">
        <f aca="false">COUNTIFS(Products!$L$2:$L$632,A29,Products!$M$2:$M$632,B29,Products!$N$2:$N$632,C29)</f>
        <v>8</v>
      </c>
    </row>
    <row r="30" customFormat="false" ht="15" hidden="false" customHeight="false" outlineLevel="0" collapsed="false">
      <c r="A30" s="15" t="s">
        <v>98</v>
      </c>
      <c r="B30" s="15" t="s">
        <v>184</v>
      </c>
      <c r="C30" s="2" t="s">
        <v>347</v>
      </c>
      <c r="D30" s="2" t="n">
        <f aca="false">COUNTIFS(Products!$L$2:$L$632,A30,Products!$M$2:$M$632,B30,Products!$N$2:$N$632,C30)</f>
        <v>2</v>
      </c>
    </row>
    <row r="31" customFormat="false" ht="15" hidden="false" customHeight="false" outlineLevel="0" collapsed="false">
      <c r="A31" s="15" t="s">
        <v>98</v>
      </c>
      <c r="B31" s="15" t="s">
        <v>184</v>
      </c>
      <c r="C31" s="2" t="s">
        <v>295</v>
      </c>
      <c r="D31" s="2" t="n">
        <f aca="false">COUNTIFS(Products!$L$2:$L$632,A31,Products!$M$2:$M$632,B31,Products!$N$2:$N$632,C31)</f>
        <v>4</v>
      </c>
    </row>
    <row r="32" customFormat="false" ht="15" hidden="false" customHeight="false" outlineLevel="0" collapsed="false">
      <c r="A32" s="15" t="s">
        <v>98</v>
      </c>
      <c r="B32" s="15" t="s">
        <v>184</v>
      </c>
      <c r="C32" s="2" t="s">
        <v>319</v>
      </c>
      <c r="D32" s="2" t="n">
        <f aca="false">COUNTIFS(Products!$L$2:$L$632,A32,Products!$M$2:$M$632,B32,Products!$N$2:$N$632,C32)</f>
        <v>5</v>
      </c>
    </row>
    <row r="33" customFormat="false" ht="15" hidden="false" customHeight="false" outlineLevel="0" collapsed="false">
      <c r="A33" s="15" t="s">
        <v>98</v>
      </c>
      <c r="B33" s="3" t="s">
        <v>99</v>
      </c>
      <c r="D33" s="3" t="n">
        <f aca="false">COUNTIFS(Products!$L$2:$L$632,A33,Products!$M$2:$M$632,B33)</f>
        <v>14</v>
      </c>
    </row>
    <row r="34" customFormat="false" ht="15" hidden="false" customHeight="false" outlineLevel="0" collapsed="false">
      <c r="A34" s="15" t="s">
        <v>98</v>
      </c>
      <c r="B34" s="15" t="s">
        <v>99</v>
      </c>
      <c r="C34" s="2" t="s">
        <v>164</v>
      </c>
      <c r="D34" s="2" t="n">
        <f aca="false">COUNTIFS(Products!$L$2:$L$632,A34,Products!$M$2:$M$632,B34,Products!$N$2:$N$632,C34)</f>
        <v>2</v>
      </c>
    </row>
    <row r="35" customFormat="false" ht="15" hidden="false" customHeight="false" outlineLevel="0" collapsed="false">
      <c r="A35" s="15" t="s">
        <v>98</v>
      </c>
      <c r="B35" s="15" t="s">
        <v>99</v>
      </c>
      <c r="C35" s="2" t="s">
        <v>100</v>
      </c>
      <c r="D35" s="2" t="n">
        <f aca="false">COUNTIFS(Products!$L$2:$L$632,A35,Products!$M$2:$M$632,B35,Products!$N$2:$N$632,C35)</f>
        <v>3</v>
      </c>
    </row>
    <row r="36" customFormat="false" ht="15" hidden="false" customHeight="false" outlineLevel="0" collapsed="false">
      <c r="A36" s="15" t="s">
        <v>98</v>
      </c>
      <c r="B36" s="15" t="s">
        <v>99</v>
      </c>
      <c r="C36" s="2" t="s">
        <v>121</v>
      </c>
      <c r="D36" s="2" t="n">
        <f aca="false">COUNTIFS(Products!$L$2:$L$632,A36,Products!$M$2:$M$632,B36,Products!$N$2:$N$632,C36)</f>
        <v>2</v>
      </c>
    </row>
    <row r="37" customFormat="false" ht="15" hidden="false" customHeight="false" outlineLevel="0" collapsed="false">
      <c r="A37" s="15" t="s">
        <v>98</v>
      </c>
      <c r="B37" s="15" t="s">
        <v>99</v>
      </c>
      <c r="C37" s="2" t="s">
        <v>143</v>
      </c>
      <c r="D37" s="2" t="n">
        <f aca="false">COUNTIFS(Products!$L$2:$L$632,A37,Products!$M$2:$M$632,B37,Products!$N$2:$N$632,C37)</f>
        <v>1</v>
      </c>
    </row>
    <row r="38" customFormat="false" ht="15" hidden="false" customHeight="false" outlineLevel="0" collapsed="false">
      <c r="A38" s="15" t="s">
        <v>98</v>
      </c>
      <c r="B38" s="15" t="s">
        <v>99</v>
      </c>
      <c r="C38" s="2" t="s">
        <v>150</v>
      </c>
      <c r="D38" s="2" t="n">
        <f aca="false">COUNTIFS(Products!$L$2:$L$632,A38,Products!$M$2:$M$632,B38,Products!$N$2:$N$632,C38)</f>
        <v>3</v>
      </c>
    </row>
    <row r="39" customFormat="false" ht="15" hidden="false" customHeight="false" outlineLevel="0" collapsed="false">
      <c r="A39" s="15" t="s">
        <v>98</v>
      </c>
      <c r="B39" s="15" t="s">
        <v>99</v>
      </c>
      <c r="C39" s="2" t="s">
        <v>132</v>
      </c>
      <c r="D39" s="2" t="n">
        <f aca="false">COUNTIFS(Products!$L$2:$L$632,A39,Products!$M$2:$M$632,B39,Products!$N$2:$N$632,C39)</f>
        <v>2</v>
      </c>
    </row>
    <row r="40" customFormat="false" ht="15" hidden="false" customHeight="false" outlineLevel="0" collapsed="false">
      <c r="A40" s="15" t="s">
        <v>98</v>
      </c>
      <c r="B40" s="15" t="s">
        <v>99</v>
      </c>
      <c r="C40" s="2" t="s">
        <v>175</v>
      </c>
      <c r="D40" s="2" t="n">
        <f aca="false">COUNTIFS(Products!$L$2:$L$632,A40,Products!$M$2:$M$632,B40,Products!$N$2:$N$632,C40)</f>
        <v>1</v>
      </c>
    </row>
    <row r="41" customFormat="false" ht="15" hidden="false" customHeight="false" outlineLevel="0" collapsed="false">
      <c r="A41" s="13" t="s">
        <v>2777</v>
      </c>
      <c r="B41" s="14"/>
      <c r="C41" s="14"/>
      <c r="D41" s="13" t="n">
        <f aca="false">COUNTIFS(Products!$L$2:$L$632,A41)</f>
        <v>0</v>
      </c>
    </row>
    <row r="42" customFormat="false" ht="15" hidden="false" customHeight="false" outlineLevel="0" collapsed="false">
      <c r="A42" s="15" t="s">
        <v>2777</v>
      </c>
      <c r="B42" s="3" t="s">
        <v>2778</v>
      </c>
      <c r="D42" s="3" t="n">
        <f aca="false">COUNTIFS(Products!$L$2:$L$632,A42,Products!$M$2:$M$632,B42)</f>
        <v>0</v>
      </c>
    </row>
    <row r="43" customFormat="false" ht="15" hidden="false" customHeight="false" outlineLevel="0" collapsed="false">
      <c r="A43" s="15" t="s">
        <v>2777</v>
      </c>
      <c r="B43" s="15" t="s">
        <v>2778</v>
      </c>
      <c r="C43" s="2" t="s">
        <v>2779</v>
      </c>
      <c r="D43" s="2" t="n">
        <f aca="false">COUNTIFS(Products!$L$2:$L$632,A43,Products!$M$2:$M$632,B43,Products!$N$2:$N$632,C43)</f>
        <v>0</v>
      </c>
    </row>
    <row r="44" customFormat="false" ht="15" hidden="false" customHeight="false" outlineLevel="0" collapsed="false">
      <c r="A44" s="15" t="s">
        <v>2777</v>
      </c>
      <c r="B44" s="15" t="s">
        <v>2778</v>
      </c>
      <c r="C44" s="2" t="s">
        <v>2780</v>
      </c>
      <c r="D44" s="2" t="n">
        <f aca="false">COUNTIFS(Products!$L$2:$L$632,A44,Products!$M$2:$M$632,B44,Products!$N$2:$N$632,C44)</f>
        <v>0</v>
      </c>
    </row>
    <row r="45" customFormat="false" ht="15" hidden="false" customHeight="false" outlineLevel="0" collapsed="false">
      <c r="A45" s="15" t="s">
        <v>2777</v>
      </c>
      <c r="B45" s="15" t="s">
        <v>2778</v>
      </c>
      <c r="C45" s="2" t="s">
        <v>2781</v>
      </c>
      <c r="D45" s="2" t="n">
        <f aca="false">COUNTIFS(Products!$L$2:$L$632,A45,Products!$M$2:$M$632,B45,Products!$N$2:$N$632,C45)</f>
        <v>0</v>
      </c>
    </row>
    <row r="46" customFormat="false" ht="15" hidden="false" customHeight="false" outlineLevel="0" collapsed="false">
      <c r="A46" s="13" t="s">
        <v>2103</v>
      </c>
      <c r="B46" s="14"/>
      <c r="C46" s="14"/>
      <c r="D46" s="13" t="n">
        <f aca="false">COUNTIFS(Products!$L$2:$L$632,A46)</f>
        <v>195</v>
      </c>
    </row>
    <row r="47" customFormat="false" ht="15" hidden="false" customHeight="false" outlineLevel="0" collapsed="false">
      <c r="A47" s="15" t="s">
        <v>2103</v>
      </c>
      <c r="B47" s="3" t="s">
        <v>2452</v>
      </c>
      <c r="D47" s="3" t="n">
        <f aca="false">COUNTIFS(Products!$L$2:$L$632,A47,Products!$M$2:$M$632,B47)</f>
        <v>98</v>
      </c>
    </row>
    <row r="48" customFormat="false" ht="15" hidden="false" customHeight="false" outlineLevel="0" collapsed="false">
      <c r="A48" s="15" t="s">
        <v>2103</v>
      </c>
      <c r="B48" s="15" t="s">
        <v>2452</v>
      </c>
      <c r="C48" s="2" t="s">
        <v>2453</v>
      </c>
      <c r="D48" s="2" t="n">
        <f aca="false">COUNTIFS(Products!$L$2:$L$632,A48,Products!$M$2:$M$632,B48,Products!$N$2:$N$632,C48)</f>
        <v>38</v>
      </c>
    </row>
    <row r="49" customFormat="false" ht="15" hidden="false" customHeight="false" outlineLevel="0" collapsed="false">
      <c r="A49" s="15" t="s">
        <v>2103</v>
      </c>
      <c r="B49" s="15" t="s">
        <v>2452</v>
      </c>
      <c r="C49" s="2" t="s">
        <v>2679</v>
      </c>
      <c r="D49" s="2" t="n">
        <f aca="false">COUNTIFS(Products!$L$2:$L$632,A49,Products!$M$2:$M$632,B49,Products!$N$2:$N$632,C49)</f>
        <v>15</v>
      </c>
    </row>
    <row r="50" customFormat="false" ht="15" hidden="false" customHeight="false" outlineLevel="0" collapsed="false">
      <c r="A50" s="15" t="s">
        <v>2103</v>
      </c>
      <c r="B50" s="15" t="s">
        <v>2452</v>
      </c>
      <c r="C50" s="2" t="s">
        <v>2659</v>
      </c>
      <c r="D50" s="2" t="n">
        <f aca="false">COUNTIFS(Products!$L$2:$L$632,A50,Products!$M$2:$M$632,B50,Products!$N$2:$N$632,C50)</f>
        <v>6</v>
      </c>
    </row>
    <row r="51" customFormat="false" ht="15" hidden="false" customHeight="false" outlineLevel="0" collapsed="false">
      <c r="A51" s="15" t="s">
        <v>2103</v>
      </c>
      <c r="B51" s="15" t="s">
        <v>2452</v>
      </c>
      <c r="C51" s="2" t="s">
        <v>2639</v>
      </c>
      <c r="D51" s="2" t="n">
        <f aca="false">COUNTIFS(Products!$L$2:$L$632,A51,Products!$M$2:$M$632,B51,Products!$N$2:$N$632,C51)</f>
        <v>1</v>
      </c>
    </row>
    <row r="52" customFormat="false" ht="15" hidden="false" customHeight="false" outlineLevel="0" collapsed="false">
      <c r="A52" s="15" t="s">
        <v>2103</v>
      </c>
      <c r="B52" s="15" t="s">
        <v>2452</v>
      </c>
      <c r="C52" s="2" t="s">
        <v>2570</v>
      </c>
      <c r="D52" s="2" t="n">
        <f aca="false">COUNTIFS(Products!$L$2:$L$632,A52,Products!$M$2:$M$632,B52,Products!$N$2:$N$632,C52)</f>
        <v>16</v>
      </c>
    </row>
    <row r="53" customFormat="false" ht="15" hidden="false" customHeight="false" outlineLevel="0" collapsed="false">
      <c r="A53" s="15" t="s">
        <v>2103</v>
      </c>
      <c r="B53" s="15" t="s">
        <v>2452</v>
      </c>
      <c r="C53" s="2" t="s">
        <v>2644</v>
      </c>
      <c r="D53" s="2" t="n">
        <f aca="false">COUNTIFS(Products!$L$2:$L$632,A53,Products!$M$2:$M$632,B53,Products!$N$2:$N$632,C53)</f>
        <v>4</v>
      </c>
    </row>
    <row r="54" customFormat="false" ht="15" hidden="false" customHeight="false" outlineLevel="0" collapsed="false">
      <c r="A54" s="15" t="s">
        <v>2103</v>
      </c>
      <c r="B54" s="15" t="s">
        <v>2452</v>
      </c>
      <c r="C54" s="2" t="s">
        <v>2750</v>
      </c>
      <c r="D54" s="2" t="n">
        <f aca="false">COUNTIFS(Products!$L$2:$L$632,A54,Products!$M$2:$M$632,B54,Products!$N$2:$N$632,C54)</f>
        <v>9</v>
      </c>
    </row>
    <row r="55" customFormat="false" ht="15" hidden="false" customHeight="false" outlineLevel="0" collapsed="false">
      <c r="A55" s="15" t="s">
        <v>2103</v>
      </c>
      <c r="B55" s="15" t="s">
        <v>2452</v>
      </c>
      <c r="C55" s="2" t="s">
        <v>2728</v>
      </c>
      <c r="D55" s="2" t="n">
        <f aca="false">COUNTIFS(Products!$L$2:$L$632,A55,Products!$M$2:$M$632,B55,Products!$N$2:$N$632,C55)</f>
        <v>5</v>
      </c>
    </row>
    <row r="56" customFormat="false" ht="15" hidden="false" customHeight="false" outlineLevel="0" collapsed="false">
      <c r="A56" s="15" t="s">
        <v>2103</v>
      </c>
      <c r="B56" s="15" t="s">
        <v>2452</v>
      </c>
      <c r="C56" s="2" t="s">
        <v>2622</v>
      </c>
      <c r="D56" s="2" t="n">
        <f aca="false">COUNTIFS(Products!$L$2:$L$632,A56,Products!$M$2:$M$632,B56,Products!$N$2:$N$632,C56)</f>
        <v>4</v>
      </c>
    </row>
    <row r="57" customFormat="false" ht="15" hidden="false" customHeight="false" outlineLevel="0" collapsed="false">
      <c r="A57" s="15" t="s">
        <v>2103</v>
      </c>
      <c r="B57" s="3" t="s">
        <v>2181</v>
      </c>
      <c r="D57" s="3" t="n">
        <f aca="false">COUNTIFS(Products!$L$2:$L$632,A57,Products!$M$2:$M$632,B57)</f>
        <v>83</v>
      </c>
    </row>
    <row r="58" customFormat="false" ht="15" hidden="false" customHeight="false" outlineLevel="0" collapsed="false">
      <c r="A58" s="15" t="s">
        <v>2103</v>
      </c>
      <c r="B58" s="15" t="s">
        <v>2181</v>
      </c>
      <c r="C58" s="2" t="s">
        <v>2182</v>
      </c>
      <c r="D58" s="2" t="n">
        <f aca="false">COUNTIFS(Products!$L$2:$L$632,A58,Products!$M$2:$M$632,B58,Products!$N$2:$N$632,C58)</f>
        <v>81</v>
      </c>
    </row>
    <row r="59" customFormat="false" ht="15" hidden="false" customHeight="false" outlineLevel="0" collapsed="false">
      <c r="A59" s="15" t="s">
        <v>2103</v>
      </c>
      <c r="B59" s="15" t="s">
        <v>2181</v>
      </c>
      <c r="C59" s="2" t="s">
        <v>2443</v>
      </c>
      <c r="D59" s="2" t="n">
        <f aca="false">COUNTIFS(Products!$L$2:$L$632,A59,Products!$M$2:$M$632,B59,Products!$N$2:$N$632,C59)</f>
        <v>2</v>
      </c>
    </row>
    <row r="60" customFormat="false" ht="15" hidden="false" customHeight="false" outlineLevel="0" collapsed="false">
      <c r="A60" s="15" t="s">
        <v>2103</v>
      </c>
      <c r="B60" s="3" t="s">
        <v>2104</v>
      </c>
      <c r="D60" s="3" t="n">
        <f aca="false">COUNTIFS(Products!$L$2:$L$632,A60,Products!$M$2:$M$632,B60)</f>
        <v>14</v>
      </c>
    </row>
    <row r="61" customFormat="false" ht="15" hidden="false" customHeight="false" outlineLevel="0" collapsed="false">
      <c r="A61" s="15" t="s">
        <v>2103</v>
      </c>
      <c r="B61" s="15" t="s">
        <v>2104</v>
      </c>
      <c r="C61" s="2" t="s">
        <v>2165</v>
      </c>
      <c r="D61" s="2" t="n">
        <f aca="false">COUNTIFS(Products!$L$2:$L$632,A61,Products!$M$2:$M$632,B61,Products!$N$2:$N$632,C61)</f>
        <v>3</v>
      </c>
    </row>
    <row r="62" customFormat="false" ht="15" hidden="false" customHeight="false" outlineLevel="0" collapsed="false">
      <c r="A62" s="15" t="s">
        <v>2103</v>
      </c>
      <c r="B62" s="15" t="s">
        <v>2104</v>
      </c>
      <c r="C62" s="2" t="s">
        <v>2139</v>
      </c>
      <c r="D62" s="2" t="n">
        <f aca="false">COUNTIFS(Products!$L$2:$L$632,A62,Products!$M$2:$M$632,B62,Products!$N$2:$N$632,C62)</f>
        <v>3</v>
      </c>
    </row>
    <row r="63" customFormat="false" ht="15" hidden="false" customHeight="false" outlineLevel="0" collapsed="false">
      <c r="A63" s="15" t="s">
        <v>2103</v>
      </c>
      <c r="B63" s="15" t="s">
        <v>2104</v>
      </c>
      <c r="C63" s="2" t="s">
        <v>2153</v>
      </c>
      <c r="D63" s="2" t="n">
        <f aca="false">COUNTIFS(Products!$L$2:$L$632,A63,Products!$M$2:$M$632,B63,Products!$N$2:$N$632,C63)</f>
        <v>2</v>
      </c>
    </row>
    <row r="64" customFormat="false" ht="15" hidden="false" customHeight="false" outlineLevel="0" collapsed="false">
      <c r="A64" s="15" t="s">
        <v>2103</v>
      </c>
      <c r="B64" s="15" t="s">
        <v>2104</v>
      </c>
      <c r="C64" s="2" t="s">
        <v>2117</v>
      </c>
      <c r="D64" s="2" t="n">
        <f aca="false">COUNTIFS(Products!$L$2:$L$632,A64,Products!$M$2:$M$632,B64,Products!$N$2:$N$632,C64)</f>
        <v>4</v>
      </c>
    </row>
    <row r="65" customFormat="false" ht="15" hidden="false" customHeight="false" outlineLevel="0" collapsed="false">
      <c r="A65" s="15" t="s">
        <v>2103</v>
      </c>
      <c r="B65" s="15" t="s">
        <v>2104</v>
      </c>
      <c r="C65" s="2" t="s">
        <v>2105</v>
      </c>
      <c r="D65" s="2" t="n">
        <f aca="false">COUNTIFS(Products!$L$2:$L$632,A65,Products!$M$2:$M$632,B65,Products!$N$2:$N$632,C65)</f>
        <v>2</v>
      </c>
    </row>
    <row r="66" customFormat="false" ht="15" hidden="false" customHeight="false" outlineLevel="0" collapsed="false">
      <c r="A66" s="13" t="s">
        <v>36</v>
      </c>
      <c r="B66" s="14"/>
      <c r="C66" s="14"/>
      <c r="D66" s="13" t="n">
        <f aca="false">COUNTIFS(Products!$L$2:$L$632,A66)</f>
        <v>12</v>
      </c>
    </row>
    <row r="67" customFormat="false" ht="15" hidden="false" customHeight="false" outlineLevel="0" collapsed="false">
      <c r="A67" s="15" t="s">
        <v>36</v>
      </c>
      <c r="B67" s="3" t="s">
        <v>37</v>
      </c>
      <c r="D67" s="3" t="n">
        <f aca="false">COUNTIFS(Products!$L$2:$L$632,A67,Products!$M$2:$M$632,B67)</f>
        <v>12</v>
      </c>
    </row>
    <row r="68" customFormat="false" ht="15" hidden="false" customHeight="false" outlineLevel="0" collapsed="false">
      <c r="A68" s="15" t="s">
        <v>36</v>
      </c>
      <c r="B68" s="15" t="s">
        <v>37</v>
      </c>
      <c r="C68" s="2" t="s">
        <v>38</v>
      </c>
      <c r="D68" s="2" t="n">
        <f aca="false">COUNTIFS(Products!$L$2:$L$632,A68,Products!$M$2:$M$632,B68,Products!$N$2:$N$632,C68)</f>
        <v>3</v>
      </c>
    </row>
    <row r="69" customFormat="false" ht="15" hidden="false" customHeight="false" outlineLevel="0" collapsed="false">
      <c r="A69" s="15" t="s">
        <v>36</v>
      </c>
      <c r="B69" s="15" t="s">
        <v>37</v>
      </c>
      <c r="C69" s="2" t="s">
        <v>55</v>
      </c>
      <c r="D69" s="2" t="n">
        <f aca="false">COUNTIFS(Products!$L$2:$L$632,A69,Products!$M$2:$M$632,B69,Products!$N$2:$N$632,C69)</f>
        <v>1</v>
      </c>
    </row>
    <row r="70" customFormat="false" ht="15" hidden="false" customHeight="false" outlineLevel="0" collapsed="false">
      <c r="A70" s="15" t="s">
        <v>36</v>
      </c>
      <c r="B70" s="15" t="s">
        <v>37</v>
      </c>
      <c r="C70" s="2" t="s">
        <v>63</v>
      </c>
      <c r="D70" s="2" t="n">
        <f aca="false">COUNTIFS(Products!$L$2:$L$632,A70,Products!$M$2:$M$632,B70,Products!$N$2:$N$632,C70)</f>
        <v>7</v>
      </c>
    </row>
    <row r="71" customFormat="false" ht="15" hidden="false" customHeight="false" outlineLevel="0" collapsed="false">
      <c r="A71" s="15" t="s">
        <v>36</v>
      </c>
      <c r="B71" s="15" t="s">
        <v>37</v>
      </c>
      <c r="C71" s="2" t="s">
        <v>88</v>
      </c>
      <c r="D71" s="2" t="n">
        <f aca="false">COUNTIFS(Products!$L$2:$L$632,A71,Products!$M$2:$M$632,B71,Products!$N$2:$N$632,C71)</f>
        <v>1</v>
      </c>
    </row>
    <row r="73" customFormat="false" ht="15" hidden="false" customHeight="false" outlineLevel="0" collapsed="false">
      <c r="C73" s="16" t="s">
        <v>2785</v>
      </c>
      <c r="D73" s="16" t="n">
        <f aca="false">COUNTA(Products!$L$2:$L$632)</f>
        <v>631</v>
      </c>
    </row>
    <row r="74" customFormat="false" ht="15" hidden="false" customHeight="false" outlineLevel="0" collapsed="false">
      <c r="C74" s="16" t="s">
        <v>2786</v>
      </c>
      <c r="D74" s="16" t="n">
        <f aca="false">COUNTA(Products!$A$2:$A$632)</f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2026-10-12T19:26:30Z</dcterms:created>
  <dc:creator>openpyxl</dc:creator>
  <dc:description/>
  <dc:language>en-US</dc:language>
  <cp:lastModifiedBy/>
  <dcterms:modified xsi:type="dcterms:W3CDTF">2026-10-12T19:26:30Z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